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 Rotan Sigi" sheetId="1" state="visible" r:id="rId3"/>
    <sheet name="Sumber Data" sheetId="2" state="visible" r:id="rId4"/>
    <sheet name="Statistik Deskriptif" sheetId="3" state="visible" r:id="rId5"/>
    <sheet name="Hasil Mod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<sst xmlns="http://schemas.openxmlformats.org/spreadsheetml/2006/main" count="683" uniqueCount="172">
  <si>
    <t xml:space="preserve">DATASET PREDIKSI HARGA JUAL &amp; KUALITAS ROTAN — KABUPATEN SIGI, SULAWESI TENGAH</t>
  </si>
  <si>
    <t xml:space="preserve"> </t>
  </si>
  <si>
    <t xml:space="preserve">No</t>
  </si>
  <si>
    <t xml:space="preserve">Jenis Rotan</t>
  </si>
  <si>
    <t xml:space="preserve">Panjang Batang
(m)</t>
  </si>
  <si>
    <t xml:space="preserve">Diameter Batang
(mm)</t>
  </si>
  <si>
    <t xml:space="preserve">Kerapatan
(g/cm³)</t>
  </si>
  <si>
    <t xml:space="preserve">Kadar Air
(%)</t>
  </si>
  <si>
    <t xml:space="preserve">Musim Panen</t>
  </si>
  <si>
    <t xml:space="preserve">Lama Pengeringan
(hari)</t>
  </si>
  <si>
    <t xml:space="preserve">Cacat Fisik
(%)</t>
  </si>
  <si>
    <t xml:space="preserve">Harga Jual
(Rp/kg)</t>
  </si>
  <si>
    <t xml:space="preserve">Grade
Kualitas</t>
  </si>
  <si>
    <t xml:space="preserve">Tohiti</t>
  </si>
  <si>
    <t xml:space="preserve">Kemarau</t>
  </si>
  <si>
    <t xml:space="preserve">A</t>
  </si>
  <si>
    <t xml:space="preserve">Lambang</t>
  </si>
  <si>
    <t xml:space="preserve">Hujan</t>
  </si>
  <si>
    <t xml:space="preserve">C</t>
  </si>
  <si>
    <t xml:space="preserve">Merah</t>
  </si>
  <si>
    <t xml:space="preserve">B</t>
  </si>
  <si>
    <t xml:space="preserve">Batang</t>
  </si>
  <si>
    <t xml:space="preserve">Ronti</t>
  </si>
  <si>
    <t xml:space="preserve">Susu</t>
  </si>
  <si>
    <t xml:space="preserve">Umbul</t>
  </si>
  <si>
    <t xml:space="preserve">SUMBER DATA &amp; REFERENSI DATASET ROTAN SIGI</t>
  </si>
  <si>
    <t xml:space="preserve">Prediksi Harga Jual &amp; Kualitas Rotan — Kab. Sigi, Sulawesi Tengah</t>
  </si>
  <si>
    <t xml:space="preserve">Variabel / Parameter</t>
  </si>
  <si>
    <t xml:space="preserve">Nilai / Rentang</t>
  </si>
  <si>
    <t xml:space="preserve">Sumber</t>
  </si>
  <si>
    <t xml:space="preserve">Keterangan</t>
  </si>
  <si>
    <t xml:space="preserve">Harga Rotan Asalan
(Tingkat Petani)</t>
  </si>
  <si>
    <t xml:space="preserve">Rp 5.000 – Rp 6.000/kg</t>
  </si>
  <si>
    <t xml:space="preserve">Antara News Sulteng
(Februari 2013)</t>
  </si>
  <si>
    <t xml:space="preserve">Berita: 'Perajin Rotan Tidak Kesulitan
Bahan Baku', sulteng.antaranews.com</t>
  </si>
  <si>
    <t xml:space="preserve">Harga Rotan Asalan
(Tingkat Industri)</t>
  </si>
  <si>
    <t xml:space="preserve">Rp 7.000/kg</t>
  </si>
  <si>
    <t xml:space="preserve">Berita: 'Kerajinan Rotan 70 Persen Diserap
Pasar Rumah Tangga'</t>
  </si>
  <si>
    <t xml:space="preserve">Harga Rotan Polish</t>
  </si>
  <si>
    <t xml:space="preserve">Rp 20.000/kg</t>
  </si>
  <si>
    <t xml:space="preserve">Harga bahan baku pabrik rotan Kota Palu</t>
  </si>
  <si>
    <t xml:space="preserve">Jenis Rotan Komersil
Sulawesi Tengah</t>
  </si>
  <si>
    <t xml:space="preserve">7 jenis: Tohiti, Lambang,
Batang, Merah, Ronti,
Susu, Umbul</t>
  </si>
  <si>
    <t xml:space="preserve">Dinas Kehutanan Prov.
Sulawesi Tengah</t>
  </si>
  <si>
    <t xml:space="preserve">Dari 38 jenis rotan Sulteng, 7 jenis
telah dikomersilkan secara aktif</t>
  </si>
  <si>
    <t xml:space="preserve">Lokasi Petani Rotan
Kabupaten Sigi</t>
  </si>
  <si>
    <t xml:space="preserve">Desa Namo, Kec. Kulawi,
Kab. Sigi</t>
  </si>
  <si>
    <t xml:space="preserve">Mongabay Indonesia
(April 2022)</t>
  </si>
  <si>
    <t xml:space="preserve">Artikel sertifikasi rotan lestari PGS,
mongabay.co.id</t>
  </si>
  <si>
    <t xml:space="preserve">Produksi Rotan
Sulawesi Tengah</t>
  </si>
  <si>
    <t xml:space="preserve">19.697,31 ton dari
8 kabupaten/kota</t>
  </si>
  <si>
    <t xml:space="preserve">BPS / Dinas Kehutanan
Prov. Sulawesi Tengah</t>
  </si>
  <si>
    <t xml:space="preserve">Data produksi mencakup: Palu, Donggala,
Parimo, Poso, Tojo Una-una,
Banggai, Morowali, Buol</t>
  </si>
  <si>
    <t xml:space="preserve">Klasifikasi Kualitas Rotan
(Grade A/B/C)</t>
  </si>
  <si>
    <t xml:space="preserve">Berdasarkan kerapatan,
MOR, dan MOE</t>
  </si>
  <si>
    <t xml:space="preserve">Jurnal Puslitbang Hutan
(Jasni, 2015)</t>
  </si>
  <si>
    <t xml:space="preserve">Judul: Penggolongan Performans 25 Jenis
Rotan Indonesia, Penelitian Hasil
Hutan Vol.33 No.4</t>
  </si>
  <si>
    <t xml:space="preserve">Kerapatan Rotan
Berkualitas Baik</t>
  </si>
  <si>
    <t xml:space="preserve">587,60 – 773,66 kg/m³</t>
  </si>
  <si>
    <t xml:space="preserve">Jasni (2015) — Puslitbang
Hutan Indonesia</t>
  </si>
  <si>
    <t xml:space="preserve">Grade II (Baik/Good): contoh jenis
D. rubra, C. ornatus, C. inops</t>
  </si>
  <si>
    <t xml:space="preserve">Kerapatan Rotan
Berkualitas Rendah</t>
  </si>
  <si>
    <t xml:space="preserve">215,48 – 401,54 kg/m³</t>
  </si>
  <si>
    <t xml:space="preserve">Grade IV (Rendah/Poor): K. zeppelii
dan jenis sejenis</t>
  </si>
  <si>
    <t xml:space="preserve">Permasalahan Harga
Rotan Petani</t>
  </si>
  <si>
    <t xml:space="preserve">Harga tidak stabil,
cenderung rendah</t>
  </si>
  <si>
    <t xml:space="preserve">NTFP-EP Asia / Mongabay
(2022)</t>
  </si>
  <si>
    <t xml:space="preserve">Petani Sigi tidak panen ±5 tahun
karena tidak ada pembeli
(Desa Namo, Kec. Kulawi)</t>
  </si>
  <si>
    <t xml:space="preserve">Produksi Rotan
Indonesia 2019–2023</t>
  </si>
  <si>
    <t xml:space="preserve">594.944 – 1.607.425 batang
(fluktuatif)</t>
  </si>
  <si>
    <t xml:space="preserve">GoodStats Data / BPS RI
(Oktober 2024)</t>
  </si>
  <si>
    <t xml:space="preserve">Statistik Produksi Kehutanan:
Produks turun 2020 akibat pandemi,
naik kembali 2021</t>
  </si>
  <si>
    <t xml:space="preserve">Pangsa Pasar
Kerajinan Rotan</t>
  </si>
  <si>
    <t xml:space="preserve">70% rumah tangga,
30% perkantoran/hotel</t>
  </si>
  <si>
    <t xml:space="preserve">Forum Perajin Rotan Palu
/ Antara Sulteng</t>
  </si>
  <si>
    <t xml:space="preserve">Ketua Forum: Jamaluddin,
wawancara Antara News Sulteng</t>
  </si>
  <si>
    <t xml:space="preserve">STATISTIK DESKRIPTIF DATASET ROTAN SIGI</t>
  </si>
  <si>
    <t xml:space="preserve">Variabel</t>
  </si>
  <si>
    <t xml:space="preserve">Min</t>
  </si>
  <si>
    <t xml:space="preserve">Max</t>
  </si>
  <si>
    <t xml:space="preserve">Rata-rata</t>
  </si>
  <si>
    <t xml:space="preserve">Median</t>
  </si>
  <si>
    <t xml:space="preserve">Std Dev</t>
  </si>
  <si>
    <t xml:space="preserve">Satuan</t>
  </si>
  <si>
    <t xml:space="preserve">Panjang Batang</t>
  </si>
  <si>
    <t xml:space="preserve">Meter</t>
  </si>
  <si>
    <t xml:space="preserve">Diukur dari pangkal hingga ujung batang</t>
  </si>
  <si>
    <t xml:space="preserve">Diameter Batang</t>
  </si>
  <si>
    <t xml:space="preserve">mm</t>
  </si>
  <si>
    <t xml:space="preserve">Diameter tengah batang rotan</t>
  </si>
  <si>
    <t xml:space="preserve">Kerapatan</t>
  </si>
  <si>
    <t xml:space="preserve">g/cm³</t>
  </si>
  <si>
    <t xml:space="preserve">Massa per satuan volume</t>
  </si>
  <si>
    <t xml:space="preserve">Kadar Air</t>
  </si>
  <si>
    <t xml:space="preserve">%</t>
  </si>
  <si>
    <t xml:space="preserve">Persentase kadar air saat panen</t>
  </si>
  <si>
    <t xml:space="preserve">Lama Pengeringan</t>
  </si>
  <si>
    <t xml:space="preserve">Hari</t>
  </si>
  <si>
    <t xml:space="preserve">Durasi pengeringan pasca panen</t>
  </si>
  <si>
    <t xml:space="preserve">Cacat Fisik</t>
  </si>
  <si>
    <t xml:space="preserve">Persentase bagian batang cacat/rusak</t>
  </si>
  <si>
    <t xml:space="preserve">Harga Jual</t>
  </si>
  <si>
    <t xml:space="preserve">Rp/kg</t>
  </si>
  <si>
    <t xml:space="preserve">Harga jual di tingkat petani/pengepul</t>
  </si>
  <si>
    <t xml:space="preserve">DISTRIBUSI GRADE KUALITAS</t>
  </si>
  <si>
    <t xml:space="preserve">Grade</t>
  </si>
  <si>
    <t xml:space="preserve">Jumlah Sampel</t>
  </si>
  <si>
    <t xml:space="preserve">Persentase</t>
  </si>
  <si>
    <t xml:space="preserve">A (Premium)</t>
  </si>
  <si>
    <t xml:space="preserve">B (Standar)</t>
  </si>
  <si>
    <t xml:space="preserve">C (Rendah)</t>
  </si>
  <si>
    <t xml:space="preserve">TOTAL</t>
  </si>
  <si>
    <t xml:space="preserve">Prediksi Harga Jual Rotan (Regresi/SVR) &amp; Klasifikasi Grade Kualitas (SVC)</t>
  </si>
  <si>
    <t xml:space="preserve">A. REGRESI LINEAR — Prediksi Harga Jual (Rp/kg)</t>
  </si>
  <si>
    <t xml:space="preserve">Metrik</t>
  </si>
  <si>
    <t xml:space="preserve">Nilai</t>
  </si>
  <si>
    <t xml:space="preserve">MAE (Mean Absolute Error)</t>
  </si>
  <si>
    <t xml:space="preserve">Rp 73/kg</t>
  </si>
  <si>
    <t xml:space="preserve">Rata-rata selisih mutlak prediksi vs aktual</t>
  </si>
  <si>
    <t xml:space="preserve">RMSE (Root Mean Sq. Error)</t>
  </si>
  <si>
    <t xml:space="preserve">Rp 89/kg</t>
  </si>
  <si>
    <t xml:space="preserve">Akar rata-rata kuadrat error</t>
  </si>
  <si>
    <t xml:space="preserve">R² Score</t>
  </si>
  <si>
    <t xml:space="preserve">0.9976 (99.76%)</t>
  </si>
  <si>
    <t xml:space="preserve">Model menjelaskan 99.76% variasi harga</t>
  </si>
  <si>
    <t xml:space="preserve">Data Training</t>
  </si>
  <si>
    <t xml:space="preserve">136 sampel</t>
  </si>
  <si>
    <t xml:space="preserve">80% dari total 170 data</t>
  </si>
  <si>
    <t xml:space="preserve">Data Testing</t>
  </si>
  <si>
    <t xml:space="preserve">34 sampel</t>
  </si>
  <si>
    <t xml:space="preserve">20% dari total 170 data</t>
  </si>
  <si>
    <t xml:space="preserve">B. SVC — Klasifikasi Grade Kualitas (A / B / C)</t>
  </si>
  <si>
    <t xml:space="preserve">Akurasi</t>
  </si>
  <si>
    <t xml:space="preserve">97.06%</t>
  </si>
  <si>
    <t xml:space="preserve">33 dari 34 data testing berhasil diklasifikasi benar</t>
  </si>
  <si>
    <t xml:space="preserve">Kernel</t>
  </si>
  <si>
    <t xml:space="preserve">RBF</t>
  </si>
  <si>
    <t xml:space="preserve">Radial Basis Function — cocok untuk data non-linear</t>
  </si>
  <si>
    <t xml:space="preserve">Precision (Grade A)</t>
  </si>
  <si>
    <t xml:space="preserve">100%</t>
  </si>
  <si>
    <t xml:space="preserve">Semua prediksi A terbukti benar</t>
  </si>
  <si>
    <t xml:space="preserve">Precision (Grade B)</t>
  </si>
  <si>
    <t xml:space="preserve">92.3%</t>
  </si>
  <si>
    <t xml:space="preserve">Mayoritas prediksi B benar (1 dari 12 tertukar dengan A)</t>
  </si>
  <si>
    <t xml:space="preserve">Precision (Grade C)</t>
  </si>
  <si>
    <t xml:space="preserve">Semua prediksi C terbukti benar</t>
  </si>
  <si>
    <t xml:space="preserve">F1-Score (rata-rata)</t>
  </si>
  <si>
    <t xml:space="preserve">0.97</t>
  </si>
  <si>
    <t xml:space="preserve">Harmonic mean precision &amp; recall</t>
  </si>
  <si>
    <t xml:space="preserve">C. SVR — Perbandingan 3 Kernel (Linear / RBF / Polynomial)</t>
  </si>
  <si>
    <t xml:space="preserve">Kernel SVR</t>
  </si>
  <si>
    <t xml:space="preserve">MAE</t>
  </si>
  <si>
    <t xml:space="preserve">RMSE</t>
  </si>
  <si>
    <t xml:space="preserve">R²</t>
  </si>
  <si>
    <t xml:space="preserve">CV R² (5-fold)</t>
  </si>
  <si>
    <t xml:space="preserve">Status</t>
  </si>
  <si>
    <t xml:space="preserve">Linear</t>
  </si>
  <si>
    <t xml:space="preserve">Rp 82/kg</t>
  </si>
  <si>
    <t xml:space="preserve">Rp 99/kg</t>
  </si>
  <si>
    <t xml:space="preserve">99.70%</t>
  </si>
  <si>
    <t xml:space="preserve">99.69%</t>
  </si>
  <si>
    <t xml:space="preserve">⭐ TERBAIK</t>
  </si>
  <si>
    <t xml:space="preserve">Rp 79/kg</t>
  </si>
  <si>
    <t xml:space="preserve">Rp 135/kg</t>
  </si>
  <si>
    <t xml:space="preserve">99.44%</t>
  </si>
  <si>
    <t xml:space="preserve">99.17%</t>
  </si>
  <si>
    <t xml:space="preserve">Polynomial</t>
  </si>
  <si>
    <t xml:space="preserve">Rp 368/kg</t>
  </si>
  <si>
    <t xml:space="preserve">Rp 505/kg</t>
  </si>
  <si>
    <t xml:space="preserve">92.21%</t>
  </si>
  <si>
    <t xml:space="preserve">93.42%</t>
  </si>
  <si>
    <t xml:space="preserve">Catatan: Model dilatih ulang (scikit-learn, Python) pada 170 sampel gabungan — Juni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</si>
</sst>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p &quot;#,##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7F8C8D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5276"/>
        <bgColor rgb="FF1F618D"/>
      </patternFill>
    </fill>
    <fill>
      <patternFill patternType="solid">
        <fgColor rgb="FF1F618D"/>
        <bgColor rgb="FF1A5276"/>
      </patternFill>
    </fill>
    <fill>
      <patternFill patternType="solid">
        <fgColor rgb="FFAED6F1"/>
        <bgColor rgb="FFCCCCFF"/>
      </patternFill>
    </fill>
    <fill>
      <patternFill patternType="solid">
        <fgColor rgb="FFFFFFFF"/>
        <bgColor rgb="FFF2F8FD"/>
      </patternFill>
    </fill>
    <fill>
      <patternFill patternType="solid">
        <fgColor rgb="FFD5F5E3"/>
        <bgColor rgb="FFD6EAF8"/>
      </patternFill>
    </fill>
    <fill>
      <patternFill patternType="solid">
        <fgColor rgb="FFF2F8FD"/>
        <bgColor rgb="FFFFFFFF"/>
      </patternFill>
    </fill>
    <fill>
      <patternFill patternType="solid">
        <fgColor rgb="FFFADBD8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2874A6"/>
        <bgColor rgb="FF1F618D"/>
      </patternFill>
    </fill>
    <fill>
      <patternFill patternType="solid">
        <fgColor rgb="FF117A65"/>
        <bgColor rgb="FF1F618D"/>
      </patternFill>
    </fill>
    <fill>
      <patternFill patternType="solid">
        <fgColor rgb="FF784212"/>
        <bgColor rgb="FF99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0C0C0"/>
      <rgbColor rgb="FF7F8C8D"/>
      <rgbColor rgb="FF9999FF"/>
      <rgbColor rgb="FF993366"/>
      <rgbColor rgb="FFFEF9E7"/>
      <rgbColor rgb="FFD6EAF8"/>
      <rgbColor rgb="FF660066"/>
      <rgbColor rgb="FFFF8080"/>
      <rgbColor rgb="FF1F618D"/>
      <rgbColor rgb="FFCCCCFF"/>
      <rgbColor rgb="FF000080"/>
      <rgbColor rgb="FFFF00FF"/>
      <rgbColor rgb="FFFFFF00"/>
      <rgbColor rgb="FF00FFFF"/>
      <rgbColor rgb="FF800080"/>
      <rgbColor rgb="FF800000"/>
      <rgbColor rgb="FF2874A6"/>
      <rgbColor rgb="FF0000FF"/>
      <rgbColor rgb="FF00CCFF"/>
      <rgbColor rgb="FFF2F8FD"/>
      <rgbColor rgb="FFD5F5E3"/>
      <rgbColor rgb="FFFFFF99"/>
      <rgbColor rgb="FFAED6F1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5276"/>
      <rgbColor rgb="FF339966"/>
      <rgbColor rgb="FF003300"/>
      <rgbColor rgb="FF333300"/>
      <rgbColor rgb="FF784212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1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0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7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15.75" hidden="false" customHeight="true" outlineLevel="0" collapsed="false">
      <c r="A4" s="5" t="n">
        <v>1</v>
      </c>
      <c r="B4" s="6" t="s">
        <v>13</v>
      </c>
      <c r="C4" s="5" t="n">
        <v>7.5</v>
      </c>
      <c r="D4" s="5" t="n">
        <v>22</v>
      </c>
      <c r="E4" s="5" t="n">
        <v>0.72</v>
      </c>
      <c r="F4" s="5" t="n">
        <v>18</v>
      </c>
      <c r="G4" s="5" t="s">
        <v>14</v>
      </c>
      <c r="H4" s="5" t="n">
        <v>5</v>
      </c>
      <c r="I4" s="5" t="n">
        <v>3</v>
      </c>
      <c r="J4" s="7" t="n">
        <v>9500</v>
      </c>
      <c r="K4" s="8" t="s">
        <v>15</v>
      </c>
    </row>
    <row r="5" customFormat="false" ht="15.75" hidden="false" customHeight="true" outlineLevel="0" collapsed="false">
      <c r="A5" s="9" t="n">
        <v>2</v>
      </c>
      <c r="B5" s="10" t="s">
        <v>16</v>
      </c>
      <c r="C5" s="9" t="n">
        <v>5.2</v>
      </c>
      <c r="D5" s="9" t="n">
        <v>15</v>
      </c>
      <c r="E5" s="9" t="n">
        <v>0.55</v>
      </c>
      <c r="F5" s="9" t="n">
        <v>25</v>
      </c>
      <c r="G5" s="9" t="s">
        <v>17</v>
      </c>
      <c r="H5" s="9" t="n">
        <v>8</v>
      </c>
      <c r="I5" s="9" t="n">
        <v>12</v>
      </c>
      <c r="J5" s="11" t="n">
        <v>6000</v>
      </c>
      <c r="K5" s="12" t="s">
        <v>18</v>
      </c>
    </row>
    <row r="6" customFormat="false" ht="15.75" hidden="false" customHeight="true" outlineLevel="0" collapsed="false">
      <c r="A6" s="5" t="n">
        <v>3</v>
      </c>
      <c r="B6" s="6" t="s">
        <v>13</v>
      </c>
      <c r="C6" s="5" t="n">
        <v>8.1</v>
      </c>
      <c r="D6" s="5" t="n">
        <v>24</v>
      </c>
      <c r="E6" s="5" t="n">
        <v>0.75</v>
      </c>
      <c r="F6" s="5" t="n">
        <v>16</v>
      </c>
      <c r="G6" s="5" t="s">
        <v>14</v>
      </c>
      <c r="H6" s="5" t="n">
        <v>4</v>
      </c>
      <c r="I6" s="5" t="n">
        <v>2</v>
      </c>
      <c r="J6" s="7" t="n">
        <v>10500</v>
      </c>
      <c r="K6" s="8" t="s">
        <v>15</v>
      </c>
    </row>
    <row r="7" customFormat="false" ht="15.75" hidden="false" customHeight="true" outlineLevel="0" collapsed="false">
      <c r="A7" s="9" t="n">
        <v>4</v>
      </c>
      <c r="B7" s="10" t="s">
        <v>19</v>
      </c>
      <c r="C7" s="9" t="n">
        <v>6.3</v>
      </c>
      <c r="D7" s="9" t="n">
        <v>18</v>
      </c>
      <c r="E7" s="9" t="n">
        <v>0.63</v>
      </c>
      <c r="F7" s="9" t="n">
        <v>21</v>
      </c>
      <c r="G7" s="9" t="s">
        <v>17</v>
      </c>
      <c r="H7" s="9" t="n">
        <v>7</v>
      </c>
      <c r="I7" s="9" t="n">
        <v>8</v>
      </c>
      <c r="J7" s="11" t="n">
        <v>7200</v>
      </c>
      <c r="K7" s="13" t="s">
        <v>20</v>
      </c>
    </row>
    <row r="8" customFormat="false" ht="15.75" hidden="false" customHeight="true" outlineLevel="0" collapsed="false">
      <c r="A8" s="5" t="n">
        <v>5</v>
      </c>
      <c r="B8" s="6" t="s">
        <v>21</v>
      </c>
      <c r="C8" s="5" t="n">
        <v>7</v>
      </c>
      <c r="D8" s="5" t="n">
        <v>20</v>
      </c>
      <c r="E8" s="5" t="n">
        <v>0.68</v>
      </c>
      <c r="F8" s="5" t="n">
        <v>19</v>
      </c>
      <c r="G8" s="5" t="s">
        <v>14</v>
      </c>
      <c r="H8" s="5" t="n">
        <v>5</v>
      </c>
      <c r="I8" s="5" t="n">
        <v>5</v>
      </c>
      <c r="J8" s="7" t="n">
        <v>8800</v>
      </c>
      <c r="K8" s="13" t="s">
        <v>20</v>
      </c>
    </row>
    <row r="9" customFormat="false" ht="15.75" hidden="false" customHeight="true" outlineLevel="0" collapsed="false">
      <c r="A9" s="9" t="n">
        <v>6</v>
      </c>
      <c r="B9" s="10" t="s">
        <v>13</v>
      </c>
      <c r="C9" s="9" t="n">
        <v>8.5</v>
      </c>
      <c r="D9" s="9" t="n">
        <v>25</v>
      </c>
      <c r="E9" s="9" t="n">
        <v>0.78</v>
      </c>
      <c r="F9" s="9" t="n">
        <v>15</v>
      </c>
      <c r="G9" s="9" t="s">
        <v>14</v>
      </c>
      <c r="H9" s="9" t="n">
        <v>3</v>
      </c>
      <c r="I9" s="9" t="n">
        <v>1</v>
      </c>
      <c r="J9" s="11" t="n">
        <v>11000</v>
      </c>
      <c r="K9" s="8" t="s">
        <v>15</v>
      </c>
    </row>
    <row r="10" customFormat="false" ht="15.75" hidden="false" customHeight="true" outlineLevel="0" collapsed="false">
      <c r="A10" s="5" t="n">
        <v>7</v>
      </c>
      <c r="B10" s="6" t="s">
        <v>16</v>
      </c>
      <c r="C10" s="5" t="n">
        <v>4.8</v>
      </c>
      <c r="D10" s="5" t="n">
        <v>13</v>
      </c>
      <c r="E10" s="5" t="n">
        <v>0.5</v>
      </c>
      <c r="F10" s="5" t="n">
        <v>28</v>
      </c>
      <c r="G10" s="5" t="s">
        <v>17</v>
      </c>
      <c r="H10" s="5" t="n">
        <v>10</v>
      </c>
      <c r="I10" s="5" t="n">
        <v>18</v>
      </c>
      <c r="J10" s="7" t="n">
        <v>5200</v>
      </c>
      <c r="K10" s="12" t="s">
        <v>18</v>
      </c>
    </row>
    <row r="11" customFormat="false" ht="15.75" hidden="false" customHeight="true" outlineLevel="0" collapsed="false">
      <c r="A11" s="9" t="n">
        <v>8</v>
      </c>
      <c r="B11" s="10" t="s">
        <v>22</v>
      </c>
      <c r="C11" s="9" t="n">
        <v>6.8</v>
      </c>
      <c r="D11" s="9" t="n">
        <v>19</v>
      </c>
      <c r="E11" s="9" t="n">
        <v>0.65</v>
      </c>
      <c r="F11" s="9" t="n">
        <v>20</v>
      </c>
      <c r="G11" s="9" t="s">
        <v>14</v>
      </c>
      <c r="H11" s="9" t="n">
        <v>6</v>
      </c>
      <c r="I11" s="9" t="n">
        <v>6</v>
      </c>
      <c r="J11" s="11" t="n">
        <v>8200</v>
      </c>
      <c r="K11" s="13" t="s">
        <v>20</v>
      </c>
    </row>
    <row r="12" customFormat="false" ht="15.75" hidden="false" customHeight="true" outlineLevel="0" collapsed="false">
      <c r="A12" s="5" t="n">
        <v>9</v>
      </c>
      <c r="B12" s="6" t="s">
        <v>13</v>
      </c>
      <c r="C12" s="5" t="n">
        <v>7.9</v>
      </c>
      <c r="D12" s="5" t="n">
        <v>23</v>
      </c>
      <c r="E12" s="5" t="n">
        <v>0.74</v>
      </c>
      <c r="F12" s="5" t="n">
        <v>17</v>
      </c>
      <c r="G12" s="5" t="s">
        <v>14</v>
      </c>
      <c r="H12" s="5" t="n">
        <v>4</v>
      </c>
      <c r="I12" s="5" t="n">
        <v>2</v>
      </c>
      <c r="J12" s="7" t="n">
        <v>10200</v>
      </c>
      <c r="K12" s="8" t="s">
        <v>15</v>
      </c>
    </row>
    <row r="13" customFormat="false" ht="15.75" hidden="false" customHeight="true" outlineLevel="0" collapsed="false">
      <c r="A13" s="9" t="n">
        <v>10</v>
      </c>
      <c r="B13" s="10" t="s">
        <v>19</v>
      </c>
      <c r="C13" s="9" t="n">
        <v>5.5</v>
      </c>
      <c r="D13" s="9" t="n">
        <v>16</v>
      </c>
      <c r="E13" s="9" t="n">
        <v>0.58</v>
      </c>
      <c r="F13" s="9" t="n">
        <v>24</v>
      </c>
      <c r="G13" s="9" t="s">
        <v>17</v>
      </c>
      <c r="H13" s="9" t="n">
        <v>8</v>
      </c>
      <c r="I13" s="9" t="n">
        <v>11</v>
      </c>
      <c r="J13" s="11" t="n">
        <v>6500</v>
      </c>
      <c r="K13" s="12" t="s">
        <v>18</v>
      </c>
    </row>
    <row r="14" customFormat="false" ht="15.75" hidden="false" customHeight="true" outlineLevel="0" collapsed="false">
      <c r="A14" s="5" t="n">
        <v>11</v>
      </c>
      <c r="B14" s="6" t="s">
        <v>23</v>
      </c>
      <c r="C14" s="5" t="n">
        <v>6.1</v>
      </c>
      <c r="D14" s="5" t="n">
        <v>17</v>
      </c>
      <c r="E14" s="5" t="n">
        <v>0.61</v>
      </c>
      <c r="F14" s="5" t="n">
        <v>22</v>
      </c>
      <c r="G14" s="5" t="s">
        <v>17</v>
      </c>
      <c r="H14" s="5" t="n">
        <v>7</v>
      </c>
      <c r="I14" s="5" t="n">
        <v>9</v>
      </c>
      <c r="J14" s="7" t="n">
        <v>7000</v>
      </c>
      <c r="K14" s="13" t="s">
        <v>20</v>
      </c>
    </row>
    <row r="15" customFormat="false" ht="15.75" hidden="false" customHeight="true" outlineLevel="0" collapsed="false">
      <c r="A15" s="9" t="n">
        <v>12</v>
      </c>
      <c r="B15" s="10" t="s">
        <v>13</v>
      </c>
      <c r="C15" s="9" t="n">
        <v>8.3</v>
      </c>
      <c r="D15" s="9" t="n">
        <v>24</v>
      </c>
      <c r="E15" s="9" t="n">
        <v>0.77</v>
      </c>
      <c r="F15" s="9" t="n">
        <v>15</v>
      </c>
      <c r="G15" s="9" t="s">
        <v>14</v>
      </c>
      <c r="H15" s="9" t="n">
        <v>3</v>
      </c>
      <c r="I15" s="9" t="n">
        <v>1</v>
      </c>
      <c r="J15" s="11" t="n">
        <v>10800</v>
      </c>
      <c r="K15" s="8" t="s">
        <v>15</v>
      </c>
    </row>
    <row r="16" customFormat="false" ht="15.75" hidden="false" customHeight="true" outlineLevel="0" collapsed="false">
      <c r="A16" s="5" t="n">
        <v>13</v>
      </c>
      <c r="B16" s="6" t="s">
        <v>21</v>
      </c>
      <c r="C16" s="5" t="n">
        <v>5.9</v>
      </c>
      <c r="D16" s="5" t="n">
        <v>17</v>
      </c>
      <c r="E16" s="5" t="n">
        <v>0.6</v>
      </c>
      <c r="F16" s="5" t="n">
        <v>23</v>
      </c>
      <c r="G16" s="5" t="s">
        <v>17</v>
      </c>
      <c r="H16" s="5" t="n">
        <v>8</v>
      </c>
      <c r="I16" s="5" t="n">
        <v>10</v>
      </c>
      <c r="J16" s="7" t="n">
        <v>6800</v>
      </c>
      <c r="K16" s="13" t="s">
        <v>20</v>
      </c>
    </row>
    <row r="17" customFormat="false" ht="15.75" hidden="false" customHeight="true" outlineLevel="0" collapsed="false">
      <c r="A17" s="9" t="n">
        <v>14</v>
      </c>
      <c r="B17" s="10" t="s">
        <v>16</v>
      </c>
      <c r="C17" s="9" t="n">
        <v>4.5</v>
      </c>
      <c r="D17" s="9" t="n">
        <v>12</v>
      </c>
      <c r="E17" s="9" t="n">
        <v>0.48</v>
      </c>
      <c r="F17" s="9" t="n">
        <v>30</v>
      </c>
      <c r="G17" s="9" t="s">
        <v>17</v>
      </c>
      <c r="H17" s="9" t="n">
        <v>11</v>
      </c>
      <c r="I17" s="9" t="n">
        <v>20</v>
      </c>
      <c r="J17" s="11" t="n">
        <v>4800</v>
      </c>
      <c r="K17" s="12" t="s">
        <v>18</v>
      </c>
    </row>
    <row r="18" customFormat="false" ht="15.75" hidden="false" customHeight="true" outlineLevel="0" collapsed="false">
      <c r="A18" s="5" t="n">
        <v>15</v>
      </c>
      <c r="B18" s="6" t="s">
        <v>13</v>
      </c>
      <c r="C18" s="5" t="n">
        <v>7.7</v>
      </c>
      <c r="D18" s="5" t="n">
        <v>22</v>
      </c>
      <c r="E18" s="5" t="n">
        <v>0.73</v>
      </c>
      <c r="F18" s="5" t="n">
        <v>17</v>
      </c>
      <c r="G18" s="5" t="s">
        <v>14</v>
      </c>
      <c r="H18" s="5" t="n">
        <v>5</v>
      </c>
      <c r="I18" s="5" t="n">
        <v>3</v>
      </c>
      <c r="J18" s="7" t="n">
        <v>9800</v>
      </c>
      <c r="K18" s="8" t="s">
        <v>15</v>
      </c>
    </row>
    <row r="19" customFormat="false" ht="15.75" hidden="false" customHeight="true" outlineLevel="0" collapsed="false">
      <c r="A19" s="9" t="n">
        <v>16</v>
      </c>
      <c r="B19" s="10" t="s">
        <v>22</v>
      </c>
      <c r="C19" s="9" t="n">
        <v>6.5</v>
      </c>
      <c r="D19" s="9" t="n">
        <v>18</v>
      </c>
      <c r="E19" s="9" t="n">
        <v>0.64</v>
      </c>
      <c r="F19" s="9" t="n">
        <v>21</v>
      </c>
      <c r="G19" s="9" t="s">
        <v>14</v>
      </c>
      <c r="H19" s="9" t="n">
        <v>6</v>
      </c>
      <c r="I19" s="9" t="n">
        <v>6</v>
      </c>
      <c r="J19" s="11" t="n">
        <v>8000</v>
      </c>
      <c r="K19" s="13" t="s">
        <v>20</v>
      </c>
    </row>
    <row r="20" customFormat="false" ht="15.75" hidden="false" customHeight="true" outlineLevel="0" collapsed="false">
      <c r="A20" s="5" t="n">
        <v>17</v>
      </c>
      <c r="B20" s="6" t="s">
        <v>19</v>
      </c>
      <c r="C20" s="5" t="n">
        <v>7.2</v>
      </c>
      <c r="D20" s="5" t="n">
        <v>21</v>
      </c>
      <c r="E20" s="5" t="n">
        <v>0.7</v>
      </c>
      <c r="F20" s="5" t="n">
        <v>18</v>
      </c>
      <c r="G20" s="5" t="s">
        <v>14</v>
      </c>
      <c r="H20" s="5" t="n">
        <v>5</v>
      </c>
      <c r="I20" s="5" t="n">
        <v>4</v>
      </c>
      <c r="J20" s="7" t="n">
        <v>9200</v>
      </c>
      <c r="K20" s="8" t="s">
        <v>15</v>
      </c>
    </row>
    <row r="21" customFormat="false" ht="15.75" hidden="false" customHeight="true" outlineLevel="0" collapsed="false">
      <c r="A21" s="9" t="n">
        <v>18</v>
      </c>
      <c r="B21" s="10" t="s">
        <v>23</v>
      </c>
      <c r="C21" s="9" t="n">
        <v>5.3</v>
      </c>
      <c r="D21" s="9" t="n">
        <v>15</v>
      </c>
      <c r="E21" s="9" t="n">
        <v>0.54</v>
      </c>
      <c r="F21" s="9" t="n">
        <v>26</v>
      </c>
      <c r="G21" s="9" t="s">
        <v>17</v>
      </c>
      <c r="H21" s="9" t="n">
        <v>9</v>
      </c>
      <c r="I21" s="9" t="n">
        <v>14</v>
      </c>
      <c r="J21" s="11" t="n">
        <v>5800</v>
      </c>
      <c r="K21" s="12" t="s">
        <v>18</v>
      </c>
    </row>
    <row r="22" customFormat="false" ht="15.75" hidden="false" customHeight="true" outlineLevel="0" collapsed="false">
      <c r="A22" s="5" t="n">
        <v>19</v>
      </c>
      <c r="B22" s="6" t="s">
        <v>13</v>
      </c>
      <c r="C22" s="5" t="n">
        <v>8</v>
      </c>
      <c r="D22" s="5" t="n">
        <v>23</v>
      </c>
      <c r="E22" s="5" t="n">
        <v>0.75</v>
      </c>
      <c r="F22" s="5" t="n">
        <v>16</v>
      </c>
      <c r="G22" s="5" t="s">
        <v>14</v>
      </c>
      <c r="H22" s="5" t="n">
        <v>4</v>
      </c>
      <c r="I22" s="5" t="n">
        <v>2</v>
      </c>
      <c r="J22" s="7" t="n">
        <v>10400</v>
      </c>
      <c r="K22" s="8" t="s">
        <v>15</v>
      </c>
    </row>
    <row r="23" customFormat="false" ht="15.75" hidden="false" customHeight="true" outlineLevel="0" collapsed="false">
      <c r="A23" s="9" t="n">
        <v>20</v>
      </c>
      <c r="B23" s="10" t="s">
        <v>21</v>
      </c>
      <c r="C23" s="9" t="n">
        <v>6.7</v>
      </c>
      <c r="D23" s="9" t="n">
        <v>19</v>
      </c>
      <c r="E23" s="9" t="n">
        <v>0.66</v>
      </c>
      <c r="F23" s="9" t="n">
        <v>20</v>
      </c>
      <c r="G23" s="9" t="s">
        <v>14</v>
      </c>
      <c r="H23" s="9" t="n">
        <v>6</v>
      </c>
      <c r="I23" s="9" t="n">
        <v>5</v>
      </c>
      <c r="J23" s="11" t="n">
        <v>8500</v>
      </c>
      <c r="K23" s="13" t="s">
        <v>20</v>
      </c>
    </row>
    <row r="24" customFormat="false" ht="15.75" hidden="false" customHeight="true" outlineLevel="0" collapsed="false">
      <c r="A24" s="5" t="n">
        <v>21</v>
      </c>
      <c r="B24" s="6" t="s">
        <v>16</v>
      </c>
      <c r="C24" s="5" t="n">
        <v>5</v>
      </c>
      <c r="D24" s="5" t="n">
        <v>14</v>
      </c>
      <c r="E24" s="5" t="n">
        <v>0.52</v>
      </c>
      <c r="F24" s="5" t="n">
        <v>27</v>
      </c>
      <c r="G24" s="5" t="s">
        <v>17</v>
      </c>
      <c r="H24" s="5" t="n">
        <v>9</v>
      </c>
      <c r="I24" s="5" t="n">
        <v>16</v>
      </c>
      <c r="J24" s="7" t="n">
        <v>5500</v>
      </c>
      <c r="K24" s="12" t="s">
        <v>18</v>
      </c>
    </row>
    <row r="25" customFormat="false" ht="15.75" hidden="false" customHeight="true" outlineLevel="0" collapsed="false">
      <c r="A25" s="9" t="n">
        <v>22</v>
      </c>
      <c r="B25" s="10" t="s">
        <v>13</v>
      </c>
      <c r="C25" s="9" t="n">
        <v>7.6</v>
      </c>
      <c r="D25" s="9" t="n">
        <v>22</v>
      </c>
      <c r="E25" s="9" t="n">
        <v>0.72</v>
      </c>
      <c r="F25" s="9" t="n">
        <v>18</v>
      </c>
      <c r="G25" s="9" t="s">
        <v>14</v>
      </c>
      <c r="H25" s="9" t="n">
        <v>5</v>
      </c>
      <c r="I25" s="9" t="n">
        <v>3</v>
      </c>
      <c r="J25" s="11" t="n">
        <v>9600</v>
      </c>
      <c r="K25" s="8" t="s">
        <v>15</v>
      </c>
    </row>
    <row r="26" customFormat="false" ht="15.75" hidden="false" customHeight="true" outlineLevel="0" collapsed="false">
      <c r="A26" s="5" t="n">
        <v>23</v>
      </c>
      <c r="B26" s="6" t="s">
        <v>22</v>
      </c>
      <c r="C26" s="5" t="n">
        <v>6.2</v>
      </c>
      <c r="D26" s="5" t="n">
        <v>17</v>
      </c>
      <c r="E26" s="5" t="n">
        <v>0.62</v>
      </c>
      <c r="F26" s="5" t="n">
        <v>22</v>
      </c>
      <c r="G26" s="5" t="s">
        <v>17</v>
      </c>
      <c r="H26" s="5" t="n">
        <v>7</v>
      </c>
      <c r="I26" s="5" t="n">
        <v>8</v>
      </c>
      <c r="J26" s="7" t="n">
        <v>7100</v>
      </c>
      <c r="K26" s="13" t="s">
        <v>20</v>
      </c>
    </row>
    <row r="27" customFormat="false" ht="15.75" hidden="false" customHeight="true" outlineLevel="0" collapsed="false">
      <c r="A27" s="9" t="n">
        <v>24</v>
      </c>
      <c r="B27" s="10" t="s">
        <v>19</v>
      </c>
      <c r="C27" s="9" t="n">
        <v>5.8</v>
      </c>
      <c r="D27" s="9" t="n">
        <v>16</v>
      </c>
      <c r="E27" s="9" t="n">
        <v>0.59</v>
      </c>
      <c r="F27" s="9" t="n">
        <v>24</v>
      </c>
      <c r="G27" s="9" t="s">
        <v>17</v>
      </c>
      <c r="H27" s="9" t="n">
        <v>8</v>
      </c>
      <c r="I27" s="9" t="n">
        <v>11</v>
      </c>
      <c r="J27" s="11" t="n">
        <v>6600</v>
      </c>
      <c r="K27" s="12" t="s">
        <v>18</v>
      </c>
    </row>
    <row r="28" customFormat="false" ht="15.75" hidden="false" customHeight="true" outlineLevel="0" collapsed="false">
      <c r="A28" s="5" t="n">
        <v>25</v>
      </c>
      <c r="B28" s="6" t="s">
        <v>13</v>
      </c>
      <c r="C28" s="5" t="n">
        <v>8.4</v>
      </c>
      <c r="D28" s="5" t="n">
        <v>25</v>
      </c>
      <c r="E28" s="5" t="n">
        <v>0.78</v>
      </c>
      <c r="F28" s="5" t="n">
        <v>15</v>
      </c>
      <c r="G28" s="5" t="s">
        <v>14</v>
      </c>
      <c r="H28" s="5" t="n">
        <v>3</v>
      </c>
      <c r="I28" s="5" t="n">
        <v>1</v>
      </c>
      <c r="J28" s="7" t="n">
        <v>11200</v>
      </c>
      <c r="K28" s="8" t="s">
        <v>15</v>
      </c>
    </row>
    <row r="29" customFormat="false" ht="15.75" hidden="false" customHeight="true" outlineLevel="0" collapsed="false">
      <c r="A29" s="9" t="n">
        <v>26</v>
      </c>
      <c r="B29" s="10" t="s">
        <v>23</v>
      </c>
      <c r="C29" s="9" t="n">
        <v>6.4</v>
      </c>
      <c r="D29" s="9" t="n">
        <v>18</v>
      </c>
      <c r="E29" s="9" t="n">
        <v>0.63</v>
      </c>
      <c r="F29" s="9" t="n">
        <v>21</v>
      </c>
      <c r="G29" s="9" t="s">
        <v>14</v>
      </c>
      <c r="H29" s="9" t="n">
        <v>6</v>
      </c>
      <c r="I29" s="9" t="n">
        <v>7</v>
      </c>
      <c r="J29" s="11" t="n">
        <v>8100</v>
      </c>
      <c r="K29" s="13" t="s">
        <v>20</v>
      </c>
    </row>
    <row r="30" customFormat="false" ht="15.75" hidden="false" customHeight="true" outlineLevel="0" collapsed="false">
      <c r="A30" s="5" t="n">
        <v>27</v>
      </c>
      <c r="B30" s="6" t="s">
        <v>21</v>
      </c>
      <c r="C30" s="5" t="n">
        <v>5.6</v>
      </c>
      <c r="D30" s="5" t="n">
        <v>16</v>
      </c>
      <c r="E30" s="5" t="n">
        <v>0.57</v>
      </c>
      <c r="F30" s="5" t="n">
        <v>25</v>
      </c>
      <c r="G30" s="5" t="s">
        <v>17</v>
      </c>
      <c r="H30" s="5" t="n">
        <v>9</v>
      </c>
      <c r="I30" s="5" t="n">
        <v>13</v>
      </c>
      <c r="J30" s="7" t="n">
        <v>6200</v>
      </c>
      <c r="K30" s="12" t="s">
        <v>18</v>
      </c>
    </row>
    <row r="31" customFormat="false" ht="15.75" hidden="false" customHeight="true" outlineLevel="0" collapsed="false">
      <c r="A31" s="9" t="n">
        <v>28</v>
      </c>
      <c r="B31" s="10" t="s">
        <v>13</v>
      </c>
      <c r="C31" s="9" t="n">
        <v>7.8</v>
      </c>
      <c r="D31" s="9" t="n">
        <v>23</v>
      </c>
      <c r="E31" s="9" t="n">
        <v>0.74</v>
      </c>
      <c r="F31" s="9" t="n">
        <v>17</v>
      </c>
      <c r="G31" s="9" t="s">
        <v>14</v>
      </c>
      <c r="H31" s="9" t="n">
        <v>4</v>
      </c>
      <c r="I31" s="9" t="n">
        <v>2</v>
      </c>
      <c r="J31" s="11" t="n">
        <v>10000</v>
      </c>
      <c r="K31" s="8" t="s">
        <v>15</v>
      </c>
    </row>
    <row r="32" customFormat="false" ht="15.75" hidden="false" customHeight="true" outlineLevel="0" collapsed="false">
      <c r="A32" s="5" t="n">
        <v>29</v>
      </c>
      <c r="B32" s="6" t="s">
        <v>16</v>
      </c>
      <c r="C32" s="5" t="n">
        <v>4.7</v>
      </c>
      <c r="D32" s="5" t="n">
        <v>13</v>
      </c>
      <c r="E32" s="5" t="n">
        <v>0.49</v>
      </c>
      <c r="F32" s="5" t="n">
        <v>29</v>
      </c>
      <c r="G32" s="5" t="s">
        <v>17</v>
      </c>
      <c r="H32" s="5" t="n">
        <v>11</v>
      </c>
      <c r="I32" s="5" t="n">
        <v>19</v>
      </c>
      <c r="J32" s="7" t="n">
        <v>5000</v>
      </c>
      <c r="K32" s="12" t="s">
        <v>18</v>
      </c>
    </row>
    <row r="33" customFormat="false" ht="15.75" hidden="false" customHeight="true" outlineLevel="0" collapsed="false">
      <c r="A33" s="9" t="n">
        <v>30</v>
      </c>
      <c r="B33" s="10" t="s">
        <v>19</v>
      </c>
      <c r="C33" s="9" t="n">
        <v>7</v>
      </c>
      <c r="D33" s="9" t="n">
        <v>20</v>
      </c>
      <c r="E33" s="9" t="n">
        <v>0.69</v>
      </c>
      <c r="F33" s="9" t="n">
        <v>19</v>
      </c>
      <c r="G33" s="9" t="s">
        <v>14</v>
      </c>
      <c r="H33" s="9" t="n">
        <v>5</v>
      </c>
      <c r="I33" s="9" t="n">
        <v>4</v>
      </c>
      <c r="J33" s="11" t="n">
        <v>9000</v>
      </c>
      <c r="K33" s="8" t="s">
        <v>15</v>
      </c>
    </row>
    <row r="34" customFormat="false" ht="15.75" hidden="false" customHeight="true" outlineLevel="0" collapsed="false">
      <c r="A34" s="5" t="n">
        <v>31</v>
      </c>
      <c r="B34" s="6" t="s">
        <v>22</v>
      </c>
      <c r="C34" s="5" t="n">
        <v>6.6</v>
      </c>
      <c r="D34" s="5" t="n">
        <v>19</v>
      </c>
      <c r="E34" s="5" t="n">
        <v>0.65</v>
      </c>
      <c r="F34" s="5" t="n">
        <v>20</v>
      </c>
      <c r="G34" s="5" t="s">
        <v>14</v>
      </c>
      <c r="H34" s="5" t="n">
        <v>6</v>
      </c>
      <c r="I34" s="5" t="n">
        <v>5</v>
      </c>
      <c r="J34" s="7" t="n">
        <v>8300</v>
      </c>
      <c r="K34" s="13" t="s">
        <v>20</v>
      </c>
    </row>
    <row r="35" customFormat="false" ht="15.75" hidden="false" customHeight="true" outlineLevel="0" collapsed="false">
      <c r="A35" s="9" t="n">
        <v>32</v>
      </c>
      <c r="B35" s="10" t="s">
        <v>13</v>
      </c>
      <c r="C35" s="9" t="n">
        <v>8.2</v>
      </c>
      <c r="D35" s="9" t="n">
        <v>24</v>
      </c>
      <c r="E35" s="9" t="n">
        <v>0.76</v>
      </c>
      <c r="F35" s="9" t="n">
        <v>16</v>
      </c>
      <c r="G35" s="9" t="s">
        <v>14</v>
      </c>
      <c r="H35" s="9" t="n">
        <v>4</v>
      </c>
      <c r="I35" s="9" t="n">
        <v>2</v>
      </c>
      <c r="J35" s="11" t="n">
        <v>10600</v>
      </c>
      <c r="K35" s="8" t="s">
        <v>15</v>
      </c>
    </row>
    <row r="36" customFormat="false" ht="15.75" hidden="false" customHeight="true" outlineLevel="0" collapsed="false">
      <c r="A36" s="5" t="n">
        <v>33</v>
      </c>
      <c r="B36" s="6" t="s">
        <v>23</v>
      </c>
      <c r="C36" s="5" t="n">
        <v>5.4</v>
      </c>
      <c r="D36" s="5" t="n">
        <v>15</v>
      </c>
      <c r="E36" s="5" t="n">
        <v>0.55</v>
      </c>
      <c r="F36" s="5" t="n">
        <v>26</v>
      </c>
      <c r="G36" s="5" t="s">
        <v>17</v>
      </c>
      <c r="H36" s="5" t="n">
        <v>9</v>
      </c>
      <c r="I36" s="5" t="n">
        <v>14</v>
      </c>
      <c r="J36" s="7" t="n">
        <v>5900</v>
      </c>
      <c r="K36" s="12" t="s">
        <v>18</v>
      </c>
    </row>
    <row r="37" customFormat="false" ht="15.75" hidden="false" customHeight="true" outlineLevel="0" collapsed="false">
      <c r="A37" s="9" t="n">
        <v>34</v>
      </c>
      <c r="B37" s="10" t="s">
        <v>21</v>
      </c>
      <c r="C37" s="9" t="n">
        <v>6.9</v>
      </c>
      <c r="D37" s="9" t="n">
        <v>20</v>
      </c>
      <c r="E37" s="9" t="n">
        <v>0.67</v>
      </c>
      <c r="F37" s="9" t="n">
        <v>20</v>
      </c>
      <c r="G37" s="9" t="s">
        <v>14</v>
      </c>
      <c r="H37" s="9" t="n">
        <v>5</v>
      </c>
      <c r="I37" s="9" t="n">
        <v>5</v>
      </c>
      <c r="J37" s="11" t="n">
        <v>8700</v>
      </c>
      <c r="K37" s="13" t="s">
        <v>20</v>
      </c>
    </row>
    <row r="38" customFormat="false" ht="15.75" hidden="false" customHeight="true" outlineLevel="0" collapsed="false">
      <c r="A38" s="5" t="n">
        <v>35</v>
      </c>
      <c r="B38" s="6" t="s">
        <v>16</v>
      </c>
      <c r="C38" s="5" t="n">
        <v>5.1</v>
      </c>
      <c r="D38" s="5" t="n">
        <v>14</v>
      </c>
      <c r="E38" s="5" t="n">
        <v>0.53</v>
      </c>
      <c r="F38" s="5" t="n">
        <v>27</v>
      </c>
      <c r="G38" s="5" t="s">
        <v>17</v>
      </c>
      <c r="H38" s="5" t="n">
        <v>9</v>
      </c>
      <c r="I38" s="5" t="n">
        <v>15</v>
      </c>
      <c r="J38" s="7" t="n">
        <v>5600</v>
      </c>
      <c r="K38" s="12" t="s">
        <v>18</v>
      </c>
    </row>
    <row r="39" customFormat="false" ht="15.75" hidden="false" customHeight="true" outlineLevel="0" collapsed="false">
      <c r="A39" s="9" t="n">
        <v>36</v>
      </c>
      <c r="B39" s="10" t="s">
        <v>13</v>
      </c>
      <c r="C39" s="9" t="n">
        <v>7.4</v>
      </c>
      <c r="D39" s="9" t="n">
        <v>22</v>
      </c>
      <c r="E39" s="9" t="n">
        <v>0.71</v>
      </c>
      <c r="F39" s="9" t="n">
        <v>18</v>
      </c>
      <c r="G39" s="9" t="s">
        <v>14</v>
      </c>
      <c r="H39" s="9" t="n">
        <v>5</v>
      </c>
      <c r="I39" s="9" t="n">
        <v>3</v>
      </c>
      <c r="J39" s="11" t="n">
        <v>9400</v>
      </c>
      <c r="K39" s="8" t="s">
        <v>15</v>
      </c>
    </row>
    <row r="40" customFormat="false" ht="15.75" hidden="false" customHeight="true" outlineLevel="0" collapsed="false">
      <c r="A40" s="5" t="n">
        <v>37</v>
      </c>
      <c r="B40" s="6" t="s">
        <v>19</v>
      </c>
      <c r="C40" s="5" t="n">
        <v>6</v>
      </c>
      <c r="D40" s="5" t="n">
        <v>17</v>
      </c>
      <c r="E40" s="5" t="n">
        <v>0.61</v>
      </c>
      <c r="F40" s="5" t="n">
        <v>22</v>
      </c>
      <c r="G40" s="5" t="s">
        <v>17</v>
      </c>
      <c r="H40" s="5" t="n">
        <v>7</v>
      </c>
      <c r="I40" s="5" t="n">
        <v>9</v>
      </c>
      <c r="J40" s="7" t="n">
        <v>7100</v>
      </c>
      <c r="K40" s="13" t="s">
        <v>20</v>
      </c>
    </row>
    <row r="41" customFormat="false" ht="15.75" hidden="false" customHeight="true" outlineLevel="0" collapsed="false">
      <c r="A41" s="9" t="n">
        <v>38</v>
      </c>
      <c r="B41" s="10" t="s">
        <v>22</v>
      </c>
      <c r="C41" s="9" t="n">
        <v>7.1</v>
      </c>
      <c r="D41" s="9" t="n">
        <v>20</v>
      </c>
      <c r="E41" s="9" t="n">
        <v>0.69</v>
      </c>
      <c r="F41" s="9" t="n">
        <v>19</v>
      </c>
      <c r="G41" s="9" t="s">
        <v>14</v>
      </c>
      <c r="H41" s="9" t="n">
        <v>5</v>
      </c>
      <c r="I41" s="9" t="n">
        <v>4</v>
      </c>
      <c r="J41" s="11" t="n">
        <v>8900</v>
      </c>
      <c r="K41" s="13" t="s">
        <v>20</v>
      </c>
    </row>
    <row r="42" customFormat="false" ht="15.75" hidden="false" customHeight="true" outlineLevel="0" collapsed="false">
      <c r="A42" s="5" t="n">
        <v>39</v>
      </c>
      <c r="B42" s="6" t="s">
        <v>13</v>
      </c>
      <c r="C42" s="5" t="n">
        <v>8.6</v>
      </c>
      <c r="D42" s="5" t="n">
        <v>25</v>
      </c>
      <c r="E42" s="5" t="n">
        <v>0.79</v>
      </c>
      <c r="F42" s="5" t="n">
        <v>14</v>
      </c>
      <c r="G42" s="5" t="s">
        <v>14</v>
      </c>
      <c r="H42" s="5" t="n">
        <v>3</v>
      </c>
      <c r="I42" s="5" t="n">
        <v>1</v>
      </c>
      <c r="J42" s="7" t="n">
        <v>11500</v>
      </c>
      <c r="K42" s="8" t="s">
        <v>15</v>
      </c>
    </row>
    <row r="43" customFormat="false" ht="15.75" hidden="false" customHeight="true" outlineLevel="0" collapsed="false">
      <c r="A43" s="9" t="n">
        <v>40</v>
      </c>
      <c r="B43" s="10" t="s">
        <v>23</v>
      </c>
      <c r="C43" s="9" t="n">
        <v>5.7</v>
      </c>
      <c r="D43" s="9" t="n">
        <v>16</v>
      </c>
      <c r="E43" s="9" t="n">
        <v>0.58</v>
      </c>
      <c r="F43" s="9" t="n">
        <v>24</v>
      </c>
      <c r="G43" s="9" t="s">
        <v>17</v>
      </c>
      <c r="H43" s="9" t="n">
        <v>8</v>
      </c>
      <c r="I43" s="9" t="n">
        <v>12</v>
      </c>
      <c r="J43" s="11" t="n">
        <v>6400</v>
      </c>
      <c r="K43" s="12" t="s">
        <v>18</v>
      </c>
    </row>
    <row r="44" customFormat="false" ht="15.75" hidden="false" customHeight="true" outlineLevel="0" collapsed="false">
      <c r="A44" s="5" t="n">
        <v>41</v>
      </c>
      <c r="B44" s="6" t="s">
        <v>21</v>
      </c>
      <c r="C44" s="5" t="n">
        <v>7.3</v>
      </c>
      <c r="D44" s="5" t="n">
        <v>21</v>
      </c>
      <c r="E44" s="5" t="n">
        <v>0.71</v>
      </c>
      <c r="F44" s="5" t="n">
        <v>18</v>
      </c>
      <c r="G44" s="5" t="s">
        <v>14</v>
      </c>
      <c r="H44" s="5" t="n">
        <v>5</v>
      </c>
      <c r="I44" s="5" t="n">
        <v>4</v>
      </c>
      <c r="J44" s="7" t="n">
        <v>9300</v>
      </c>
      <c r="K44" s="8" t="s">
        <v>15</v>
      </c>
    </row>
    <row r="45" customFormat="false" ht="15.75" hidden="false" customHeight="true" outlineLevel="0" collapsed="false">
      <c r="A45" s="9" t="n">
        <v>42</v>
      </c>
      <c r="B45" s="10" t="s">
        <v>16</v>
      </c>
      <c r="C45" s="9" t="n">
        <v>4.6</v>
      </c>
      <c r="D45" s="9" t="n">
        <v>12</v>
      </c>
      <c r="E45" s="9" t="n">
        <v>0.49</v>
      </c>
      <c r="F45" s="9" t="n">
        <v>29</v>
      </c>
      <c r="G45" s="9" t="s">
        <v>17</v>
      </c>
      <c r="H45" s="9" t="n">
        <v>11</v>
      </c>
      <c r="I45" s="9" t="n">
        <v>20</v>
      </c>
      <c r="J45" s="11" t="n">
        <v>4900</v>
      </c>
      <c r="K45" s="12" t="s">
        <v>18</v>
      </c>
    </row>
    <row r="46" customFormat="false" ht="15.75" hidden="false" customHeight="true" outlineLevel="0" collapsed="false">
      <c r="A46" s="5" t="n">
        <v>43</v>
      </c>
      <c r="B46" s="6" t="s">
        <v>13</v>
      </c>
      <c r="C46" s="5" t="n">
        <v>7.5</v>
      </c>
      <c r="D46" s="5" t="n">
        <v>22</v>
      </c>
      <c r="E46" s="5" t="n">
        <v>0.73</v>
      </c>
      <c r="F46" s="5" t="n">
        <v>17</v>
      </c>
      <c r="G46" s="5" t="s">
        <v>14</v>
      </c>
      <c r="H46" s="5" t="n">
        <v>5</v>
      </c>
      <c r="I46" s="5" t="n">
        <v>2</v>
      </c>
      <c r="J46" s="7" t="n">
        <v>9700</v>
      </c>
      <c r="K46" s="8" t="s">
        <v>15</v>
      </c>
    </row>
    <row r="47" customFormat="false" ht="15.75" hidden="false" customHeight="true" outlineLevel="0" collapsed="false">
      <c r="A47" s="9" t="n">
        <v>44</v>
      </c>
      <c r="B47" s="10" t="s">
        <v>19</v>
      </c>
      <c r="C47" s="9" t="n">
        <v>6.2</v>
      </c>
      <c r="D47" s="9" t="n">
        <v>17</v>
      </c>
      <c r="E47" s="9" t="n">
        <v>0.62</v>
      </c>
      <c r="F47" s="9" t="n">
        <v>22</v>
      </c>
      <c r="G47" s="9" t="s">
        <v>17</v>
      </c>
      <c r="H47" s="9" t="n">
        <v>7</v>
      </c>
      <c r="I47" s="9" t="n">
        <v>8</v>
      </c>
      <c r="J47" s="11" t="n">
        <v>7300</v>
      </c>
      <c r="K47" s="13" t="s">
        <v>20</v>
      </c>
    </row>
    <row r="48" customFormat="false" ht="15.75" hidden="false" customHeight="true" outlineLevel="0" collapsed="false">
      <c r="A48" s="5" t="n">
        <v>45</v>
      </c>
      <c r="B48" s="6" t="s">
        <v>22</v>
      </c>
      <c r="C48" s="5" t="n">
        <v>6.4</v>
      </c>
      <c r="D48" s="5" t="n">
        <v>18</v>
      </c>
      <c r="E48" s="5" t="n">
        <v>0.64</v>
      </c>
      <c r="F48" s="5" t="n">
        <v>21</v>
      </c>
      <c r="G48" s="5" t="s">
        <v>14</v>
      </c>
      <c r="H48" s="5" t="n">
        <v>6</v>
      </c>
      <c r="I48" s="5" t="n">
        <v>6</v>
      </c>
      <c r="J48" s="7" t="n">
        <v>8100</v>
      </c>
      <c r="K48" s="13" t="s">
        <v>20</v>
      </c>
    </row>
    <row r="49" customFormat="false" ht="15.75" hidden="false" customHeight="true" outlineLevel="0" collapsed="false">
      <c r="A49" s="9" t="n">
        <v>46</v>
      </c>
      <c r="B49" s="10" t="s">
        <v>13</v>
      </c>
      <c r="C49" s="9" t="n">
        <v>8.1</v>
      </c>
      <c r="D49" s="9" t="n">
        <v>24</v>
      </c>
      <c r="E49" s="9" t="n">
        <v>0.76</v>
      </c>
      <c r="F49" s="9" t="n">
        <v>16</v>
      </c>
      <c r="G49" s="9" t="s">
        <v>14</v>
      </c>
      <c r="H49" s="9" t="n">
        <v>4</v>
      </c>
      <c r="I49" s="9" t="n">
        <v>2</v>
      </c>
      <c r="J49" s="11" t="n">
        <v>10500</v>
      </c>
      <c r="K49" s="8" t="s">
        <v>15</v>
      </c>
    </row>
    <row r="50" customFormat="false" ht="15.75" hidden="false" customHeight="true" outlineLevel="0" collapsed="false">
      <c r="A50" s="5" t="n">
        <v>47</v>
      </c>
      <c r="B50" s="6" t="s">
        <v>23</v>
      </c>
      <c r="C50" s="5" t="n">
        <v>5.5</v>
      </c>
      <c r="D50" s="5" t="n">
        <v>15</v>
      </c>
      <c r="E50" s="5" t="n">
        <v>0.56</v>
      </c>
      <c r="F50" s="5" t="n">
        <v>26</v>
      </c>
      <c r="G50" s="5" t="s">
        <v>17</v>
      </c>
      <c r="H50" s="5" t="n">
        <v>9</v>
      </c>
      <c r="I50" s="5" t="n">
        <v>13</v>
      </c>
      <c r="J50" s="7" t="n">
        <v>6100</v>
      </c>
      <c r="K50" s="12" t="s">
        <v>18</v>
      </c>
    </row>
    <row r="51" customFormat="false" ht="15.75" hidden="false" customHeight="true" outlineLevel="0" collapsed="false">
      <c r="A51" s="9" t="n">
        <v>48</v>
      </c>
      <c r="B51" s="10" t="s">
        <v>21</v>
      </c>
      <c r="C51" s="9" t="n">
        <v>6.6</v>
      </c>
      <c r="D51" s="9" t="n">
        <v>19</v>
      </c>
      <c r="E51" s="9" t="n">
        <v>0.66</v>
      </c>
      <c r="F51" s="9" t="n">
        <v>20</v>
      </c>
      <c r="G51" s="9" t="s">
        <v>14</v>
      </c>
      <c r="H51" s="9" t="n">
        <v>6</v>
      </c>
      <c r="I51" s="9" t="n">
        <v>5</v>
      </c>
      <c r="J51" s="11" t="n">
        <v>8400</v>
      </c>
      <c r="K51" s="13" t="s">
        <v>20</v>
      </c>
    </row>
    <row r="52" customFormat="false" ht="15.75" hidden="false" customHeight="true" outlineLevel="0" collapsed="false">
      <c r="A52" s="5" t="n">
        <v>49</v>
      </c>
      <c r="B52" s="6" t="s">
        <v>16</v>
      </c>
      <c r="C52" s="5" t="n">
        <v>5.2</v>
      </c>
      <c r="D52" s="5" t="n">
        <v>14</v>
      </c>
      <c r="E52" s="5" t="n">
        <v>0.53</v>
      </c>
      <c r="F52" s="5" t="n">
        <v>27</v>
      </c>
      <c r="G52" s="5" t="s">
        <v>17</v>
      </c>
      <c r="H52" s="5" t="n">
        <v>9</v>
      </c>
      <c r="I52" s="5" t="n">
        <v>15</v>
      </c>
      <c r="J52" s="7" t="n">
        <v>5700</v>
      </c>
      <c r="K52" s="12" t="s">
        <v>18</v>
      </c>
    </row>
    <row r="53" customFormat="false" ht="15.75" hidden="false" customHeight="true" outlineLevel="0" collapsed="false">
      <c r="A53" s="9" t="n">
        <v>50</v>
      </c>
      <c r="B53" s="10" t="s">
        <v>13</v>
      </c>
      <c r="C53" s="9" t="n">
        <v>7.9</v>
      </c>
      <c r="D53" s="9" t="n">
        <v>23</v>
      </c>
      <c r="E53" s="9" t="n">
        <v>0.74</v>
      </c>
      <c r="F53" s="9" t="n">
        <v>17</v>
      </c>
      <c r="G53" s="9" t="s">
        <v>14</v>
      </c>
      <c r="H53" s="9" t="n">
        <v>4</v>
      </c>
      <c r="I53" s="9" t="n">
        <v>2</v>
      </c>
      <c r="J53" s="11" t="n">
        <v>10100</v>
      </c>
      <c r="K53" s="8" t="s">
        <v>15</v>
      </c>
    </row>
    <row r="54" customFormat="false" ht="15.75" hidden="false" customHeight="true" outlineLevel="0" collapsed="false">
      <c r="A54" s="5" t="n">
        <v>51</v>
      </c>
      <c r="B54" s="6" t="s">
        <v>19</v>
      </c>
      <c r="C54" s="5" t="n">
        <v>7.1</v>
      </c>
      <c r="D54" s="5" t="n">
        <v>21</v>
      </c>
      <c r="E54" s="5" t="n">
        <v>0.7</v>
      </c>
      <c r="F54" s="5" t="n">
        <v>18</v>
      </c>
      <c r="G54" s="5" t="s">
        <v>14</v>
      </c>
      <c r="H54" s="5" t="n">
        <v>5</v>
      </c>
      <c r="I54" s="5" t="n">
        <v>4</v>
      </c>
      <c r="J54" s="7" t="n">
        <v>9100</v>
      </c>
      <c r="K54" s="8" t="s">
        <v>15</v>
      </c>
    </row>
    <row r="55" customFormat="false" ht="15.75" hidden="false" customHeight="true" outlineLevel="0" collapsed="false">
      <c r="A55" s="9" t="n">
        <v>52</v>
      </c>
      <c r="B55" s="10" t="s">
        <v>22</v>
      </c>
      <c r="C55" s="9" t="n">
        <v>6.3</v>
      </c>
      <c r="D55" s="9" t="n">
        <v>18</v>
      </c>
      <c r="E55" s="9" t="n">
        <v>0.63</v>
      </c>
      <c r="F55" s="9" t="n">
        <v>21</v>
      </c>
      <c r="G55" s="9" t="s">
        <v>14</v>
      </c>
      <c r="H55" s="9" t="n">
        <v>6</v>
      </c>
      <c r="I55" s="9" t="n">
        <v>6</v>
      </c>
      <c r="J55" s="11" t="n">
        <v>8000</v>
      </c>
      <c r="K55" s="13" t="s">
        <v>20</v>
      </c>
    </row>
    <row r="56" customFormat="false" ht="15.75" hidden="false" customHeight="true" outlineLevel="0" collapsed="false">
      <c r="A56" s="5" t="n">
        <v>53</v>
      </c>
      <c r="B56" s="6" t="s">
        <v>13</v>
      </c>
      <c r="C56" s="5" t="n">
        <v>8.3</v>
      </c>
      <c r="D56" s="5" t="n">
        <v>24</v>
      </c>
      <c r="E56" s="5" t="n">
        <v>0.77</v>
      </c>
      <c r="F56" s="5" t="n">
        <v>15</v>
      </c>
      <c r="G56" s="5" t="s">
        <v>14</v>
      </c>
      <c r="H56" s="5" t="n">
        <v>3</v>
      </c>
      <c r="I56" s="5" t="n">
        <v>1</v>
      </c>
      <c r="J56" s="7" t="n">
        <v>10900</v>
      </c>
      <c r="K56" s="8" t="s">
        <v>15</v>
      </c>
    </row>
    <row r="57" customFormat="false" ht="15.75" hidden="false" customHeight="true" outlineLevel="0" collapsed="false">
      <c r="A57" s="9" t="n">
        <v>54</v>
      </c>
      <c r="B57" s="10" t="s">
        <v>23</v>
      </c>
      <c r="C57" s="9" t="n">
        <v>5.6</v>
      </c>
      <c r="D57" s="9" t="n">
        <v>16</v>
      </c>
      <c r="E57" s="9" t="n">
        <v>0.57</v>
      </c>
      <c r="F57" s="9" t="n">
        <v>25</v>
      </c>
      <c r="G57" s="9" t="s">
        <v>17</v>
      </c>
      <c r="H57" s="9" t="n">
        <v>9</v>
      </c>
      <c r="I57" s="9" t="n">
        <v>13</v>
      </c>
      <c r="J57" s="11" t="n">
        <v>6200</v>
      </c>
      <c r="K57" s="12" t="s">
        <v>18</v>
      </c>
    </row>
    <row r="58" customFormat="false" ht="15.75" hidden="false" customHeight="true" outlineLevel="0" collapsed="false">
      <c r="A58" s="5" t="n">
        <v>55</v>
      </c>
      <c r="B58" s="6" t="s">
        <v>21</v>
      </c>
      <c r="C58" s="5" t="n">
        <v>7</v>
      </c>
      <c r="D58" s="5" t="n">
        <v>20</v>
      </c>
      <c r="E58" s="5" t="n">
        <v>0.68</v>
      </c>
      <c r="F58" s="5" t="n">
        <v>19</v>
      </c>
      <c r="G58" s="5" t="s">
        <v>14</v>
      </c>
      <c r="H58" s="5" t="n">
        <v>5</v>
      </c>
      <c r="I58" s="5" t="n">
        <v>5</v>
      </c>
      <c r="J58" s="7" t="n">
        <v>8800</v>
      </c>
      <c r="K58" s="13" t="s">
        <v>20</v>
      </c>
    </row>
    <row r="59" customFormat="false" ht="15.75" hidden="false" customHeight="true" outlineLevel="0" collapsed="false">
      <c r="A59" s="9" t="n">
        <v>56</v>
      </c>
      <c r="B59" s="10" t="s">
        <v>16</v>
      </c>
      <c r="C59" s="9" t="n">
        <v>4.9</v>
      </c>
      <c r="D59" s="9" t="n">
        <v>13</v>
      </c>
      <c r="E59" s="9" t="n">
        <v>0.51</v>
      </c>
      <c r="F59" s="9" t="n">
        <v>28</v>
      </c>
      <c r="G59" s="9" t="s">
        <v>17</v>
      </c>
      <c r="H59" s="9" t="n">
        <v>10</v>
      </c>
      <c r="I59" s="9" t="n">
        <v>17</v>
      </c>
      <c r="J59" s="11" t="n">
        <v>5300</v>
      </c>
      <c r="K59" s="12" t="s">
        <v>18</v>
      </c>
    </row>
    <row r="60" customFormat="false" ht="15.75" hidden="false" customHeight="true" outlineLevel="0" collapsed="false">
      <c r="A60" s="5" t="n">
        <v>57</v>
      </c>
      <c r="B60" s="6" t="s">
        <v>13</v>
      </c>
      <c r="C60" s="5" t="n">
        <v>7.6</v>
      </c>
      <c r="D60" s="5" t="n">
        <v>22</v>
      </c>
      <c r="E60" s="5" t="n">
        <v>0.72</v>
      </c>
      <c r="F60" s="5" t="n">
        <v>18</v>
      </c>
      <c r="G60" s="5" t="s">
        <v>14</v>
      </c>
      <c r="H60" s="5" t="n">
        <v>5</v>
      </c>
      <c r="I60" s="5" t="n">
        <v>3</v>
      </c>
      <c r="J60" s="7" t="n">
        <v>9600</v>
      </c>
      <c r="K60" s="8" t="s">
        <v>15</v>
      </c>
    </row>
    <row r="61" customFormat="false" ht="15.75" hidden="false" customHeight="true" outlineLevel="0" collapsed="false">
      <c r="A61" s="9" t="n">
        <v>58</v>
      </c>
      <c r="B61" s="10" t="s">
        <v>19</v>
      </c>
      <c r="C61" s="9" t="n">
        <v>6.4</v>
      </c>
      <c r="D61" s="9" t="n">
        <v>18</v>
      </c>
      <c r="E61" s="9" t="n">
        <v>0.64</v>
      </c>
      <c r="F61" s="9" t="n">
        <v>21</v>
      </c>
      <c r="G61" s="9" t="s">
        <v>14</v>
      </c>
      <c r="H61" s="9" t="n">
        <v>6</v>
      </c>
      <c r="I61" s="9" t="n">
        <v>7</v>
      </c>
      <c r="J61" s="11" t="n">
        <v>8200</v>
      </c>
      <c r="K61" s="13" t="s">
        <v>20</v>
      </c>
    </row>
    <row r="62" customFormat="false" ht="15.75" hidden="false" customHeight="true" outlineLevel="0" collapsed="false">
      <c r="A62" s="5" t="n">
        <v>59</v>
      </c>
      <c r="B62" s="6" t="s">
        <v>22</v>
      </c>
      <c r="C62" s="5" t="n">
        <v>6.7</v>
      </c>
      <c r="D62" s="5" t="n">
        <v>19</v>
      </c>
      <c r="E62" s="5" t="n">
        <v>0.66</v>
      </c>
      <c r="F62" s="5" t="n">
        <v>20</v>
      </c>
      <c r="G62" s="5" t="s">
        <v>14</v>
      </c>
      <c r="H62" s="5" t="n">
        <v>6</v>
      </c>
      <c r="I62" s="5" t="n">
        <v>5</v>
      </c>
      <c r="J62" s="7" t="n">
        <v>8400</v>
      </c>
      <c r="K62" s="13" t="s">
        <v>20</v>
      </c>
    </row>
    <row r="63" customFormat="false" ht="15.75" hidden="false" customHeight="true" outlineLevel="0" collapsed="false">
      <c r="A63" s="9" t="n">
        <v>60</v>
      </c>
      <c r="B63" s="10" t="s">
        <v>13</v>
      </c>
      <c r="C63" s="9" t="n">
        <v>8.5</v>
      </c>
      <c r="D63" s="9" t="n">
        <v>25</v>
      </c>
      <c r="E63" s="9" t="n">
        <v>0.78</v>
      </c>
      <c r="F63" s="9" t="n">
        <v>15</v>
      </c>
      <c r="G63" s="9" t="s">
        <v>14</v>
      </c>
      <c r="H63" s="9" t="n">
        <v>3</v>
      </c>
      <c r="I63" s="9" t="n">
        <v>1</v>
      </c>
      <c r="J63" s="11" t="n">
        <v>11100</v>
      </c>
      <c r="K63" s="8" t="s">
        <v>15</v>
      </c>
    </row>
    <row r="64" customFormat="false" ht="15.75" hidden="false" customHeight="true" outlineLevel="0" collapsed="false">
      <c r="A64" s="5" t="n">
        <v>61</v>
      </c>
      <c r="B64" s="6" t="s">
        <v>23</v>
      </c>
      <c r="C64" s="5" t="n">
        <v>5.3</v>
      </c>
      <c r="D64" s="5" t="n">
        <v>15</v>
      </c>
      <c r="E64" s="5" t="n">
        <v>0.54</v>
      </c>
      <c r="F64" s="5" t="n">
        <v>26</v>
      </c>
      <c r="G64" s="5" t="s">
        <v>17</v>
      </c>
      <c r="H64" s="5" t="n">
        <v>9</v>
      </c>
      <c r="I64" s="5" t="n">
        <v>14</v>
      </c>
      <c r="J64" s="7" t="n">
        <v>5800</v>
      </c>
      <c r="K64" s="12" t="s">
        <v>18</v>
      </c>
    </row>
    <row r="65" customFormat="false" ht="15.75" hidden="false" customHeight="true" outlineLevel="0" collapsed="false">
      <c r="A65" s="9" t="n">
        <v>62</v>
      </c>
      <c r="B65" s="10" t="s">
        <v>21</v>
      </c>
      <c r="C65" s="9" t="n">
        <v>6.8</v>
      </c>
      <c r="D65" s="9" t="n">
        <v>19</v>
      </c>
      <c r="E65" s="9" t="n">
        <v>0.67</v>
      </c>
      <c r="F65" s="9" t="n">
        <v>20</v>
      </c>
      <c r="G65" s="9" t="s">
        <v>14</v>
      </c>
      <c r="H65" s="9" t="n">
        <v>5</v>
      </c>
      <c r="I65" s="9" t="n">
        <v>5</v>
      </c>
      <c r="J65" s="11" t="n">
        <v>8600</v>
      </c>
      <c r="K65" s="13" t="s">
        <v>20</v>
      </c>
    </row>
    <row r="66" customFormat="false" ht="15.75" hidden="false" customHeight="true" outlineLevel="0" collapsed="false">
      <c r="A66" s="5" t="n">
        <v>63</v>
      </c>
      <c r="B66" s="6" t="s">
        <v>16</v>
      </c>
      <c r="C66" s="5" t="n">
        <v>5</v>
      </c>
      <c r="D66" s="5" t="n">
        <v>14</v>
      </c>
      <c r="E66" s="5" t="n">
        <v>0.52</v>
      </c>
      <c r="F66" s="5" t="n">
        <v>27</v>
      </c>
      <c r="G66" s="5" t="s">
        <v>17</v>
      </c>
      <c r="H66" s="5" t="n">
        <v>10</v>
      </c>
      <c r="I66" s="5" t="n">
        <v>16</v>
      </c>
      <c r="J66" s="7" t="n">
        <v>5400</v>
      </c>
      <c r="K66" s="12" t="s">
        <v>18</v>
      </c>
    </row>
    <row r="67" customFormat="false" ht="15.75" hidden="false" customHeight="true" outlineLevel="0" collapsed="false">
      <c r="A67" s="9" t="n">
        <v>64</v>
      </c>
      <c r="B67" s="10" t="s">
        <v>13</v>
      </c>
      <c r="C67" s="9" t="n">
        <v>7.7</v>
      </c>
      <c r="D67" s="9" t="n">
        <v>23</v>
      </c>
      <c r="E67" s="9" t="n">
        <v>0.73</v>
      </c>
      <c r="F67" s="9" t="n">
        <v>17</v>
      </c>
      <c r="G67" s="9" t="s">
        <v>14</v>
      </c>
      <c r="H67" s="9" t="n">
        <v>4</v>
      </c>
      <c r="I67" s="9" t="n">
        <v>2</v>
      </c>
      <c r="J67" s="11" t="n">
        <v>9900</v>
      </c>
      <c r="K67" s="8" t="s">
        <v>15</v>
      </c>
    </row>
    <row r="68" customFormat="false" ht="15.75" hidden="false" customHeight="true" outlineLevel="0" collapsed="false">
      <c r="A68" s="5" t="n">
        <v>65</v>
      </c>
      <c r="B68" s="6" t="s">
        <v>19</v>
      </c>
      <c r="C68" s="5" t="n">
        <v>5.9</v>
      </c>
      <c r="D68" s="5" t="n">
        <v>17</v>
      </c>
      <c r="E68" s="5" t="n">
        <v>0.6</v>
      </c>
      <c r="F68" s="5" t="n">
        <v>23</v>
      </c>
      <c r="G68" s="5" t="s">
        <v>17</v>
      </c>
      <c r="H68" s="5" t="n">
        <v>8</v>
      </c>
      <c r="I68" s="5" t="n">
        <v>10</v>
      </c>
      <c r="J68" s="7" t="n">
        <v>6900</v>
      </c>
      <c r="K68" s="13" t="s">
        <v>20</v>
      </c>
    </row>
    <row r="69" customFormat="false" ht="15.75" hidden="false" customHeight="true" outlineLevel="0" collapsed="false">
      <c r="A69" s="9" t="n">
        <v>66</v>
      </c>
      <c r="B69" s="10" t="s">
        <v>22</v>
      </c>
      <c r="C69" s="9" t="n">
        <v>6.5</v>
      </c>
      <c r="D69" s="9" t="n">
        <v>18</v>
      </c>
      <c r="E69" s="9" t="n">
        <v>0.64</v>
      </c>
      <c r="F69" s="9" t="n">
        <v>21</v>
      </c>
      <c r="G69" s="9" t="s">
        <v>14</v>
      </c>
      <c r="H69" s="9" t="n">
        <v>6</v>
      </c>
      <c r="I69" s="9" t="n">
        <v>6</v>
      </c>
      <c r="J69" s="11" t="n">
        <v>8200</v>
      </c>
      <c r="K69" s="13" t="s">
        <v>20</v>
      </c>
    </row>
    <row r="70" customFormat="false" ht="15.75" hidden="false" customHeight="true" outlineLevel="0" collapsed="false">
      <c r="A70" s="5" t="n">
        <v>67</v>
      </c>
      <c r="B70" s="6" t="s">
        <v>13</v>
      </c>
      <c r="C70" s="5" t="n">
        <v>8</v>
      </c>
      <c r="D70" s="5" t="n">
        <v>23</v>
      </c>
      <c r="E70" s="5" t="n">
        <v>0.75</v>
      </c>
      <c r="F70" s="5" t="n">
        <v>16</v>
      </c>
      <c r="G70" s="5" t="s">
        <v>14</v>
      </c>
      <c r="H70" s="5" t="n">
        <v>4</v>
      </c>
      <c r="I70" s="5" t="n">
        <v>2</v>
      </c>
      <c r="J70" s="7" t="n">
        <v>10300</v>
      </c>
      <c r="K70" s="8" t="s">
        <v>15</v>
      </c>
    </row>
    <row r="71" customFormat="false" ht="15.75" hidden="false" customHeight="true" outlineLevel="0" collapsed="false">
      <c r="A71" s="9" t="n">
        <v>68</v>
      </c>
      <c r="B71" s="10" t="s">
        <v>23</v>
      </c>
      <c r="C71" s="9" t="n">
        <v>5.8</v>
      </c>
      <c r="D71" s="9" t="n">
        <v>16</v>
      </c>
      <c r="E71" s="9" t="n">
        <v>0.58</v>
      </c>
      <c r="F71" s="9" t="n">
        <v>24</v>
      </c>
      <c r="G71" s="9" t="s">
        <v>17</v>
      </c>
      <c r="H71" s="9" t="n">
        <v>8</v>
      </c>
      <c r="I71" s="9" t="n">
        <v>12</v>
      </c>
      <c r="J71" s="11" t="n">
        <v>6500</v>
      </c>
      <c r="K71" s="12" t="s">
        <v>18</v>
      </c>
    </row>
    <row r="72" customFormat="false" ht="15.75" hidden="false" customHeight="true" outlineLevel="0" collapsed="false">
      <c r="A72" s="5" t="n">
        <v>69</v>
      </c>
      <c r="B72" s="6" t="s">
        <v>21</v>
      </c>
      <c r="C72" s="5" t="n">
        <v>7.2</v>
      </c>
      <c r="D72" s="5" t="n">
        <v>21</v>
      </c>
      <c r="E72" s="5" t="n">
        <v>0.7</v>
      </c>
      <c r="F72" s="5" t="n">
        <v>18</v>
      </c>
      <c r="G72" s="5" t="s">
        <v>14</v>
      </c>
      <c r="H72" s="5" t="n">
        <v>5</v>
      </c>
      <c r="I72" s="5" t="n">
        <v>4</v>
      </c>
      <c r="J72" s="7" t="n">
        <v>9100</v>
      </c>
      <c r="K72" s="8" t="s">
        <v>15</v>
      </c>
    </row>
    <row r="73" customFormat="false" ht="15.75" hidden="false" customHeight="true" outlineLevel="0" collapsed="false">
      <c r="A73" s="9" t="n">
        <v>70</v>
      </c>
      <c r="B73" s="10" t="s">
        <v>16</v>
      </c>
      <c r="C73" s="9" t="n">
        <v>4.7</v>
      </c>
      <c r="D73" s="9" t="n">
        <v>13</v>
      </c>
      <c r="E73" s="9" t="n">
        <v>0.5</v>
      </c>
      <c r="F73" s="9" t="n">
        <v>28</v>
      </c>
      <c r="G73" s="9" t="s">
        <v>17</v>
      </c>
      <c r="H73" s="9" t="n">
        <v>10</v>
      </c>
      <c r="I73" s="9" t="n">
        <v>18</v>
      </c>
      <c r="J73" s="11" t="n">
        <v>5100</v>
      </c>
      <c r="K73" s="12" t="s">
        <v>18</v>
      </c>
    </row>
    <row r="74" customFormat="false" ht="15.75" hidden="false" customHeight="true" outlineLevel="0" collapsed="false">
      <c r="A74" s="5" t="n">
        <v>71</v>
      </c>
      <c r="B74" s="6" t="s">
        <v>13</v>
      </c>
      <c r="C74" s="5" t="n">
        <v>7.4</v>
      </c>
      <c r="D74" s="5" t="n">
        <v>22</v>
      </c>
      <c r="E74" s="5" t="n">
        <v>0.72</v>
      </c>
      <c r="F74" s="5" t="n">
        <v>18</v>
      </c>
      <c r="G74" s="5" t="s">
        <v>14</v>
      </c>
      <c r="H74" s="5" t="n">
        <v>5</v>
      </c>
      <c r="I74" s="5" t="n">
        <v>3</v>
      </c>
      <c r="J74" s="7" t="n">
        <v>9500</v>
      </c>
      <c r="K74" s="8" t="s">
        <v>15</v>
      </c>
    </row>
    <row r="75" customFormat="false" ht="15.75" hidden="false" customHeight="true" outlineLevel="0" collapsed="false">
      <c r="A75" s="9" t="n">
        <v>72</v>
      </c>
      <c r="B75" s="10" t="s">
        <v>19</v>
      </c>
      <c r="C75" s="9" t="n">
        <v>6.6</v>
      </c>
      <c r="D75" s="9" t="n">
        <v>19</v>
      </c>
      <c r="E75" s="9" t="n">
        <v>0.65</v>
      </c>
      <c r="F75" s="9" t="n">
        <v>20</v>
      </c>
      <c r="G75" s="9" t="s">
        <v>14</v>
      </c>
      <c r="H75" s="9" t="n">
        <v>6</v>
      </c>
      <c r="I75" s="9" t="n">
        <v>6</v>
      </c>
      <c r="J75" s="11" t="n">
        <v>8300</v>
      </c>
      <c r="K75" s="13" t="s">
        <v>20</v>
      </c>
    </row>
    <row r="76" customFormat="false" ht="15.75" hidden="false" customHeight="true" outlineLevel="0" collapsed="false">
      <c r="A76" s="5" t="n">
        <v>73</v>
      </c>
      <c r="B76" s="6" t="s">
        <v>22</v>
      </c>
      <c r="C76" s="5" t="n">
        <v>7</v>
      </c>
      <c r="D76" s="5" t="n">
        <v>20</v>
      </c>
      <c r="E76" s="5" t="n">
        <v>0.68</v>
      </c>
      <c r="F76" s="5" t="n">
        <v>19</v>
      </c>
      <c r="G76" s="5" t="s">
        <v>14</v>
      </c>
      <c r="H76" s="5" t="n">
        <v>5</v>
      </c>
      <c r="I76" s="5" t="n">
        <v>5</v>
      </c>
      <c r="J76" s="7" t="n">
        <v>8800</v>
      </c>
      <c r="K76" s="13" t="s">
        <v>20</v>
      </c>
    </row>
    <row r="77" customFormat="false" ht="15.75" hidden="false" customHeight="true" outlineLevel="0" collapsed="false">
      <c r="A77" s="9" t="n">
        <v>74</v>
      </c>
      <c r="B77" s="10" t="s">
        <v>13</v>
      </c>
      <c r="C77" s="9" t="n">
        <v>8.4</v>
      </c>
      <c r="D77" s="9" t="n">
        <v>25</v>
      </c>
      <c r="E77" s="9" t="n">
        <v>0.78</v>
      </c>
      <c r="F77" s="9" t="n">
        <v>15</v>
      </c>
      <c r="G77" s="9" t="s">
        <v>14</v>
      </c>
      <c r="H77" s="9" t="n">
        <v>3</v>
      </c>
      <c r="I77" s="9" t="n">
        <v>1</v>
      </c>
      <c r="J77" s="11" t="n">
        <v>11300</v>
      </c>
      <c r="K77" s="8" t="s">
        <v>15</v>
      </c>
    </row>
    <row r="78" customFormat="false" ht="15.75" hidden="false" customHeight="true" outlineLevel="0" collapsed="false">
      <c r="A78" s="5" t="n">
        <v>75</v>
      </c>
      <c r="B78" s="6" t="s">
        <v>23</v>
      </c>
      <c r="C78" s="5" t="n">
        <v>5.4</v>
      </c>
      <c r="D78" s="5" t="n">
        <v>15</v>
      </c>
      <c r="E78" s="5" t="n">
        <v>0.55</v>
      </c>
      <c r="F78" s="5" t="n">
        <v>25</v>
      </c>
      <c r="G78" s="5" t="s">
        <v>17</v>
      </c>
      <c r="H78" s="5" t="n">
        <v>9</v>
      </c>
      <c r="I78" s="5" t="n">
        <v>13</v>
      </c>
      <c r="J78" s="7" t="n">
        <v>6100</v>
      </c>
      <c r="K78" s="12" t="s">
        <v>18</v>
      </c>
    </row>
    <row r="79" customFormat="false" ht="15.75" hidden="false" customHeight="true" outlineLevel="0" collapsed="false">
      <c r="A79" s="9" t="n">
        <v>76</v>
      </c>
      <c r="B79" s="10" t="s">
        <v>21</v>
      </c>
      <c r="C79" s="9" t="n">
        <v>6.5</v>
      </c>
      <c r="D79" s="9" t="n">
        <v>18</v>
      </c>
      <c r="E79" s="9" t="n">
        <v>0.65</v>
      </c>
      <c r="F79" s="9" t="n">
        <v>21</v>
      </c>
      <c r="G79" s="9" t="s">
        <v>14</v>
      </c>
      <c r="H79" s="9" t="n">
        <v>6</v>
      </c>
      <c r="I79" s="9" t="n">
        <v>6</v>
      </c>
      <c r="J79" s="11" t="n">
        <v>8200</v>
      </c>
      <c r="K79" s="13" t="s">
        <v>20</v>
      </c>
    </row>
    <row r="80" customFormat="false" ht="15.75" hidden="false" customHeight="true" outlineLevel="0" collapsed="false">
      <c r="A80" s="5" t="n">
        <v>77</v>
      </c>
      <c r="B80" s="6" t="s">
        <v>16</v>
      </c>
      <c r="C80" s="5" t="n">
        <v>5.1</v>
      </c>
      <c r="D80" s="5" t="n">
        <v>14</v>
      </c>
      <c r="E80" s="5" t="n">
        <v>0.52</v>
      </c>
      <c r="F80" s="5" t="n">
        <v>27</v>
      </c>
      <c r="G80" s="5" t="s">
        <v>17</v>
      </c>
      <c r="H80" s="5" t="n">
        <v>9</v>
      </c>
      <c r="I80" s="5" t="n">
        <v>16</v>
      </c>
      <c r="J80" s="7" t="n">
        <v>5500</v>
      </c>
      <c r="K80" s="12" t="s">
        <v>18</v>
      </c>
    </row>
    <row r="81" customFormat="false" ht="15.75" hidden="false" customHeight="true" outlineLevel="0" collapsed="false">
      <c r="A81" s="9" t="n">
        <v>78</v>
      </c>
      <c r="B81" s="10" t="s">
        <v>13</v>
      </c>
      <c r="C81" s="9" t="n">
        <v>7.8</v>
      </c>
      <c r="D81" s="9" t="n">
        <v>23</v>
      </c>
      <c r="E81" s="9" t="n">
        <v>0.74</v>
      </c>
      <c r="F81" s="9" t="n">
        <v>17</v>
      </c>
      <c r="G81" s="9" t="s">
        <v>14</v>
      </c>
      <c r="H81" s="9" t="n">
        <v>4</v>
      </c>
      <c r="I81" s="9" t="n">
        <v>2</v>
      </c>
      <c r="J81" s="11" t="n">
        <v>10000</v>
      </c>
      <c r="K81" s="8" t="s">
        <v>15</v>
      </c>
    </row>
    <row r="82" customFormat="false" ht="15.75" hidden="false" customHeight="true" outlineLevel="0" collapsed="false">
      <c r="A82" s="5" t="n">
        <v>79</v>
      </c>
      <c r="B82" s="6" t="s">
        <v>19</v>
      </c>
      <c r="C82" s="5" t="n">
        <v>6.1</v>
      </c>
      <c r="D82" s="5" t="n">
        <v>17</v>
      </c>
      <c r="E82" s="5" t="n">
        <v>0.61</v>
      </c>
      <c r="F82" s="5" t="n">
        <v>22</v>
      </c>
      <c r="G82" s="5" t="s">
        <v>17</v>
      </c>
      <c r="H82" s="5" t="n">
        <v>7</v>
      </c>
      <c r="I82" s="5" t="n">
        <v>9</v>
      </c>
      <c r="J82" s="7" t="n">
        <v>7000</v>
      </c>
      <c r="K82" s="13" t="s">
        <v>20</v>
      </c>
    </row>
    <row r="83" customFormat="false" ht="15.75" hidden="false" customHeight="true" outlineLevel="0" collapsed="false">
      <c r="A83" s="9" t="n">
        <v>80</v>
      </c>
      <c r="B83" s="10" t="s">
        <v>22</v>
      </c>
      <c r="C83" s="9" t="n">
        <v>6.6</v>
      </c>
      <c r="D83" s="9" t="n">
        <v>19</v>
      </c>
      <c r="E83" s="9" t="n">
        <v>0.65</v>
      </c>
      <c r="F83" s="9" t="n">
        <v>20</v>
      </c>
      <c r="G83" s="9" t="s">
        <v>14</v>
      </c>
      <c r="H83" s="9" t="n">
        <v>6</v>
      </c>
      <c r="I83" s="9" t="n">
        <v>6</v>
      </c>
      <c r="J83" s="11" t="n">
        <v>8300</v>
      </c>
      <c r="K83" s="13" t="s">
        <v>20</v>
      </c>
    </row>
    <row r="84" customFormat="false" ht="15.75" hidden="false" customHeight="true" outlineLevel="0" collapsed="false">
      <c r="A84" s="5" t="n">
        <v>81</v>
      </c>
      <c r="B84" s="6" t="s">
        <v>13</v>
      </c>
      <c r="C84" s="5" t="n">
        <v>8.2</v>
      </c>
      <c r="D84" s="5" t="n">
        <v>24</v>
      </c>
      <c r="E84" s="5" t="n">
        <v>0.76</v>
      </c>
      <c r="F84" s="5" t="n">
        <v>16</v>
      </c>
      <c r="G84" s="5" t="s">
        <v>14</v>
      </c>
      <c r="H84" s="5" t="n">
        <v>4</v>
      </c>
      <c r="I84" s="5" t="n">
        <v>2</v>
      </c>
      <c r="J84" s="7" t="n">
        <v>10600</v>
      </c>
      <c r="K84" s="8" t="s">
        <v>15</v>
      </c>
    </row>
    <row r="85" customFormat="false" ht="15.75" hidden="false" customHeight="true" outlineLevel="0" collapsed="false">
      <c r="A85" s="9" t="n">
        <v>82</v>
      </c>
      <c r="B85" s="10" t="s">
        <v>23</v>
      </c>
      <c r="C85" s="9" t="n">
        <v>5.5</v>
      </c>
      <c r="D85" s="9" t="n">
        <v>16</v>
      </c>
      <c r="E85" s="9" t="n">
        <v>0.56</v>
      </c>
      <c r="F85" s="9" t="n">
        <v>25</v>
      </c>
      <c r="G85" s="9" t="s">
        <v>17</v>
      </c>
      <c r="H85" s="9" t="n">
        <v>9</v>
      </c>
      <c r="I85" s="9" t="n">
        <v>13</v>
      </c>
      <c r="J85" s="11" t="n">
        <v>6200</v>
      </c>
      <c r="K85" s="12" t="s">
        <v>18</v>
      </c>
    </row>
    <row r="86" customFormat="false" ht="15.75" hidden="false" customHeight="true" outlineLevel="0" collapsed="false">
      <c r="A86" s="5" t="n">
        <v>83</v>
      </c>
      <c r="B86" s="6" t="s">
        <v>21</v>
      </c>
      <c r="C86" s="5" t="n">
        <v>7.1</v>
      </c>
      <c r="D86" s="5" t="n">
        <v>20</v>
      </c>
      <c r="E86" s="5" t="n">
        <v>0.69</v>
      </c>
      <c r="F86" s="5" t="n">
        <v>19</v>
      </c>
      <c r="G86" s="5" t="s">
        <v>14</v>
      </c>
      <c r="H86" s="5" t="n">
        <v>5</v>
      </c>
      <c r="I86" s="5" t="n">
        <v>4</v>
      </c>
      <c r="J86" s="7" t="n">
        <v>9000</v>
      </c>
      <c r="K86" s="13" t="s">
        <v>20</v>
      </c>
    </row>
    <row r="87" customFormat="false" ht="15.75" hidden="false" customHeight="true" outlineLevel="0" collapsed="false">
      <c r="A87" s="9" t="n">
        <v>84</v>
      </c>
      <c r="B87" s="10" t="s">
        <v>16</v>
      </c>
      <c r="C87" s="9" t="n">
        <v>4.8</v>
      </c>
      <c r="D87" s="9" t="n">
        <v>13</v>
      </c>
      <c r="E87" s="9" t="n">
        <v>0.5</v>
      </c>
      <c r="F87" s="9" t="n">
        <v>28</v>
      </c>
      <c r="G87" s="9" t="s">
        <v>17</v>
      </c>
      <c r="H87" s="9" t="n">
        <v>10</v>
      </c>
      <c r="I87" s="9" t="n">
        <v>18</v>
      </c>
      <c r="J87" s="11" t="n">
        <v>5200</v>
      </c>
      <c r="K87" s="12" t="s">
        <v>18</v>
      </c>
    </row>
    <row r="88" customFormat="false" ht="15.75" hidden="false" customHeight="true" outlineLevel="0" collapsed="false">
      <c r="A88" s="5" t="n">
        <v>85</v>
      </c>
      <c r="B88" s="6" t="s">
        <v>13</v>
      </c>
      <c r="C88" s="5" t="n">
        <v>7.5</v>
      </c>
      <c r="D88" s="5" t="n">
        <v>22</v>
      </c>
      <c r="E88" s="5" t="n">
        <v>0.72</v>
      </c>
      <c r="F88" s="5" t="n">
        <v>18</v>
      </c>
      <c r="G88" s="5" t="s">
        <v>14</v>
      </c>
      <c r="H88" s="5" t="n">
        <v>5</v>
      </c>
      <c r="I88" s="5" t="n">
        <v>3</v>
      </c>
      <c r="J88" s="7" t="n">
        <v>9500</v>
      </c>
      <c r="K88" s="8" t="s">
        <v>15</v>
      </c>
    </row>
    <row r="89" customFormat="false" ht="15.75" hidden="false" customHeight="true" outlineLevel="0" collapsed="false">
      <c r="A89" s="9" t="n">
        <v>86</v>
      </c>
      <c r="B89" s="10" t="s">
        <v>19</v>
      </c>
      <c r="C89" s="9" t="n">
        <v>6.8</v>
      </c>
      <c r="D89" s="9" t="n">
        <v>20</v>
      </c>
      <c r="E89" s="9" t="n">
        <v>0.67</v>
      </c>
      <c r="F89" s="9" t="n">
        <v>20</v>
      </c>
      <c r="G89" s="9" t="s">
        <v>14</v>
      </c>
      <c r="H89" s="9" t="n">
        <v>5</v>
      </c>
      <c r="I89" s="9" t="n">
        <v>5</v>
      </c>
      <c r="J89" s="11" t="n">
        <v>8600</v>
      </c>
      <c r="K89" s="13" t="s">
        <v>20</v>
      </c>
    </row>
    <row r="90" customFormat="false" ht="15.75" hidden="false" customHeight="true" outlineLevel="0" collapsed="false">
      <c r="A90" s="5" t="n">
        <v>87</v>
      </c>
      <c r="B90" s="6" t="s">
        <v>22</v>
      </c>
      <c r="C90" s="5" t="n">
        <v>6.2</v>
      </c>
      <c r="D90" s="5" t="n">
        <v>17</v>
      </c>
      <c r="E90" s="5" t="n">
        <v>0.62</v>
      </c>
      <c r="F90" s="5" t="n">
        <v>22</v>
      </c>
      <c r="G90" s="5" t="s">
        <v>17</v>
      </c>
      <c r="H90" s="5" t="n">
        <v>7</v>
      </c>
      <c r="I90" s="5" t="n">
        <v>8</v>
      </c>
      <c r="J90" s="7" t="n">
        <v>7200</v>
      </c>
      <c r="K90" s="13" t="s">
        <v>20</v>
      </c>
    </row>
    <row r="91" customFormat="false" ht="15.75" hidden="false" customHeight="true" outlineLevel="0" collapsed="false">
      <c r="A91" s="9" t="n">
        <v>88</v>
      </c>
      <c r="B91" s="10" t="s">
        <v>13</v>
      </c>
      <c r="C91" s="9" t="n">
        <v>8.1</v>
      </c>
      <c r="D91" s="9" t="n">
        <v>24</v>
      </c>
      <c r="E91" s="9" t="n">
        <v>0.75</v>
      </c>
      <c r="F91" s="9" t="n">
        <v>16</v>
      </c>
      <c r="G91" s="9" t="s">
        <v>14</v>
      </c>
      <c r="H91" s="9" t="n">
        <v>4</v>
      </c>
      <c r="I91" s="9" t="n">
        <v>2</v>
      </c>
      <c r="J91" s="11" t="n">
        <v>10500</v>
      </c>
      <c r="K91" s="8" t="s">
        <v>15</v>
      </c>
    </row>
    <row r="92" customFormat="false" ht="15.75" hidden="false" customHeight="true" outlineLevel="0" collapsed="false">
      <c r="A92" s="5" t="n">
        <v>89</v>
      </c>
      <c r="B92" s="6" t="s">
        <v>23</v>
      </c>
      <c r="C92" s="5" t="n">
        <v>5.7</v>
      </c>
      <c r="D92" s="5" t="n">
        <v>16</v>
      </c>
      <c r="E92" s="5" t="n">
        <v>0.58</v>
      </c>
      <c r="F92" s="5" t="n">
        <v>24</v>
      </c>
      <c r="G92" s="5" t="s">
        <v>17</v>
      </c>
      <c r="H92" s="5" t="n">
        <v>8</v>
      </c>
      <c r="I92" s="5" t="n">
        <v>12</v>
      </c>
      <c r="J92" s="7" t="n">
        <v>6400</v>
      </c>
      <c r="K92" s="12" t="s">
        <v>18</v>
      </c>
    </row>
    <row r="93" customFormat="false" ht="15.75" hidden="false" customHeight="true" outlineLevel="0" collapsed="false">
      <c r="A93" s="9" t="n">
        <v>90</v>
      </c>
      <c r="B93" s="10" t="s">
        <v>21</v>
      </c>
      <c r="C93" s="9" t="n">
        <v>6.9</v>
      </c>
      <c r="D93" s="9" t="n">
        <v>19</v>
      </c>
      <c r="E93" s="9" t="n">
        <v>0.67</v>
      </c>
      <c r="F93" s="9" t="n">
        <v>20</v>
      </c>
      <c r="G93" s="9" t="s">
        <v>14</v>
      </c>
      <c r="H93" s="9" t="n">
        <v>5</v>
      </c>
      <c r="I93" s="9" t="n">
        <v>5</v>
      </c>
      <c r="J93" s="11" t="n">
        <v>8700</v>
      </c>
      <c r="K93" s="13" t="s">
        <v>20</v>
      </c>
    </row>
    <row r="94" customFormat="false" ht="15.75" hidden="false" customHeight="true" outlineLevel="0" collapsed="false">
      <c r="A94" s="5" t="n">
        <v>91</v>
      </c>
      <c r="B94" s="6" t="s">
        <v>16</v>
      </c>
      <c r="C94" s="5" t="n">
        <v>4.6</v>
      </c>
      <c r="D94" s="5" t="n">
        <v>12</v>
      </c>
      <c r="E94" s="5" t="n">
        <v>0.49</v>
      </c>
      <c r="F94" s="5" t="n">
        <v>29</v>
      </c>
      <c r="G94" s="5" t="s">
        <v>17</v>
      </c>
      <c r="H94" s="5" t="n">
        <v>11</v>
      </c>
      <c r="I94" s="5" t="n">
        <v>20</v>
      </c>
      <c r="J94" s="7" t="n">
        <v>4900</v>
      </c>
      <c r="K94" s="12" t="s">
        <v>18</v>
      </c>
    </row>
    <row r="95" customFormat="false" ht="15.75" hidden="false" customHeight="true" outlineLevel="0" collapsed="false">
      <c r="A95" s="9" t="n">
        <v>92</v>
      </c>
      <c r="B95" s="10" t="s">
        <v>13</v>
      </c>
      <c r="C95" s="9" t="n">
        <v>7.9</v>
      </c>
      <c r="D95" s="9" t="n">
        <v>23</v>
      </c>
      <c r="E95" s="9" t="n">
        <v>0.74</v>
      </c>
      <c r="F95" s="9" t="n">
        <v>17</v>
      </c>
      <c r="G95" s="9" t="s">
        <v>14</v>
      </c>
      <c r="H95" s="9" t="n">
        <v>4</v>
      </c>
      <c r="I95" s="9" t="n">
        <v>2</v>
      </c>
      <c r="J95" s="11" t="n">
        <v>10100</v>
      </c>
      <c r="K95" s="8" t="s">
        <v>15</v>
      </c>
    </row>
    <row r="96" customFormat="false" ht="15.75" hidden="false" customHeight="true" outlineLevel="0" collapsed="false">
      <c r="A96" s="5" t="n">
        <v>93</v>
      </c>
      <c r="B96" s="6" t="s">
        <v>19</v>
      </c>
      <c r="C96" s="5" t="n">
        <v>6.3</v>
      </c>
      <c r="D96" s="5" t="n">
        <v>18</v>
      </c>
      <c r="E96" s="5" t="n">
        <v>0.63</v>
      </c>
      <c r="F96" s="5" t="n">
        <v>21</v>
      </c>
      <c r="G96" s="5" t="s">
        <v>14</v>
      </c>
      <c r="H96" s="5" t="n">
        <v>6</v>
      </c>
      <c r="I96" s="5" t="n">
        <v>7</v>
      </c>
      <c r="J96" s="7" t="n">
        <v>8100</v>
      </c>
      <c r="K96" s="13" t="s">
        <v>20</v>
      </c>
    </row>
    <row r="97" customFormat="false" ht="15.75" hidden="false" customHeight="true" outlineLevel="0" collapsed="false">
      <c r="A97" s="9" t="n">
        <v>94</v>
      </c>
      <c r="B97" s="10" t="s">
        <v>22</v>
      </c>
      <c r="C97" s="9" t="n">
        <v>6.8</v>
      </c>
      <c r="D97" s="9" t="n">
        <v>19</v>
      </c>
      <c r="E97" s="9" t="n">
        <v>0.66</v>
      </c>
      <c r="F97" s="9" t="n">
        <v>20</v>
      </c>
      <c r="G97" s="9" t="s">
        <v>14</v>
      </c>
      <c r="H97" s="9" t="n">
        <v>6</v>
      </c>
      <c r="I97" s="9" t="n">
        <v>5</v>
      </c>
      <c r="J97" s="11" t="n">
        <v>8500</v>
      </c>
      <c r="K97" s="13" t="s">
        <v>20</v>
      </c>
    </row>
    <row r="98" customFormat="false" ht="15.75" hidden="false" customHeight="true" outlineLevel="0" collapsed="false">
      <c r="A98" s="5" t="n">
        <v>95</v>
      </c>
      <c r="B98" s="6" t="s">
        <v>13</v>
      </c>
      <c r="C98" s="5" t="n">
        <v>8.5</v>
      </c>
      <c r="D98" s="5" t="n">
        <v>25</v>
      </c>
      <c r="E98" s="5" t="n">
        <v>0.79</v>
      </c>
      <c r="F98" s="5" t="n">
        <v>14</v>
      </c>
      <c r="G98" s="5" t="s">
        <v>14</v>
      </c>
      <c r="H98" s="5" t="n">
        <v>3</v>
      </c>
      <c r="I98" s="5" t="n">
        <v>1</v>
      </c>
      <c r="J98" s="7" t="n">
        <v>11400</v>
      </c>
      <c r="K98" s="8" t="s">
        <v>15</v>
      </c>
    </row>
    <row r="99" customFormat="false" ht="15.75" hidden="false" customHeight="true" outlineLevel="0" collapsed="false">
      <c r="A99" s="9" t="n">
        <v>96</v>
      </c>
      <c r="B99" s="10" t="s">
        <v>23</v>
      </c>
      <c r="C99" s="9" t="n">
        <v>5.3</v>
      </c>
      <c r="D99" s="9" t="n">
        <v>15</v>
      </c>
      <c r="E99" s="9" t="n">
        <v>0.54</v>
      </c>
      <c r="F99" s="9" t="n">
        <v>26</v>
      </c>
      <c r="G99" s="9" t="s">
        <v>17</v>
      </c>
      <c r="H99" s="9" t="n">
        <v>9</v>
      </c>
      <c r="I99" s="9" t="n">
        <v>14</v>
      </c>
      <c r="J99" s="11" t="n">
        <v>5800</v>
      </c>
      <c r="K99" s="12" t="s">
        <v>18</v>
      </c>
    </row>
    <row r="100" customFormat="false" ht="15.75" hidden="false" customHeight="true" outlineLevel="0" collapsed="false">
      <c r="A100" s="5" t="n">
        <v>97</v>
      </c>
      <c r="B100" s="6" t="s">
        <v>21</v>
      </c>
      <c r="C100" s="5" t="n">
        <v>7</v>
      </c>
      <c r="D100" s="5" t="n">
        <v>20</v>
      </c>
      <c r="E100" s="5" t="n">
        <v>0.68</v>
      </c>
      <c r="F100" s="5" t="n">
        <v>19</v>
      </c>
      <c r="G100" s="5" t="s">
        <v>14</v>
      </c>
      <c r="H100" s="5" t="n">
        <v>5</v>
      </c>
      <c r="I100" s="5" t="n">
        <v>5</v>
      </c>
      <c r="J100" s="7" t="n">
        <v>8800</v>
      </c>
      <c r="K100" s="13" t="s">
        <v>20</v>
      </c>
    </row>
    <row r="101" customFormat="false" ht="15.75" hidden="false" customHeight="true" outlineLevel="0" collapsed="false">
      <c r="A101" s="9" t="n">
        <v>98</v>
      </c>
      <c r="B101" s="10" t="s">
        <v>16</v>
      </c>
      <c r="C101" s="9" t="n">
        <v>5.2</v>
      </c>
      <c r="D101" s="9" t="n">
        <v>14</v>
      </c>
      <c r="E101" s="9" t="n">
        <v>0.53</v>
      </c>
      <c r="F101" s="9" t="n">
        <v>27</v>
      </c>
      <c r="G101" s="9" t="s">
        <v>17</v>
      </c>
      <c r="H101" s="9" t="n">
        <v>9</v>
      </c>
      <c r="I101" s="9" t="n">
        <v>15</v>
      </c>
      <c r="J101" s="11" t="n">
        <v>5600</v>
      </c>
      <c r="K101" s="12" t="s">
        <v>18</v>
      </c>
    </row>
    <row r="102" customFormat="false" ht="15.75" hidden="false" customHeight="true" outlineLevel="0" collapsed="false">
      <c r="A102" s="5" t="n">
        <v>99</v>
      </c>
      <c r="B102" s="6" t="s">
        <v>13</v>
      </c>
      <c r="C102" s="5" t="n">
        <v>7.6</v>
      </c>
      <c r="D102" s="5" t="n">
        <v>22</v>
      </c>
      <c r="E102" s="5" t="n">
        <v>0.73</v>
      </c>
      <c r="F102" s="5" t="n">
        <v>17</v>
      </c>
      <c r="G102" s="5" t="s">
        <v>14</v>
      </c>
      <c r="H102" s="5" t="n">
        <v>5</v>
      </c>
      <c r="I102" s="5" t="n">
        <v>3</v>
      </c>
      <c r="J102" s="7" t="n">
        <v>9700</v>
      </c>
      <c r="K102" s="8" t="s">
        <v>15</v>
      </c>
    </row>
    <row r="103" customFormat="false" ht="15.75" hidden="false" customHeight="true" outlineLevel="0" collapsed="false">
      <c r="A103" s="9" t="n">
        <v>100</v>
      </c>
      <c r="B103" s="10" t="s">
        <v>19</v>
      </c>
      <c r="C103" s="9" t="n">
        <v>6.5</v>
      </c>
      <c r="D103" s="9" t="n">
        <v>18</v>
      </c>
      <c r="E103" s="9" t="n">
        <v>0.65</v>
      </c>
      <c r="F103" s="9" t="n">
        <v>21</v>
      </c>
      <c r="G103" s="9" t="s">
        <v>14</v>
      </c>
      <c r="H103" s="9" t="n">
        <v>6</v>
      </c>
      <c r="I103" s="9" t="n">
        <v>6</v>
      </c>
      <c r="J103" s="11" t="n">
        <v>8300</v>
      </c>
      <c r="K103" s="13" t="s">
        <v>20</v>
      </c>
    </row>
    <row r="104" customFormat="false" ht="15.75" hidden="false" customHeight="true" outlineLevel="0" collapsed="false">
      <c r="A104" s="5" t="n">
        <v>101</v>
      </c>
      <c r="B104" s="6" t="s">
        <v>22</v>
      </c>
      <c r="C104" s="5" t="n">
        <v>6.4</v>
      </c>
      <c r="D104" s="5" t="n">
        <v>18</v>
      </c>
      <c r="E104" s="5" t="n">
        <v>0.63</v>
      </c>
      <c r="F104" s="5" t="n">
        <v>21</v>
      </c>
      <c r="G104" s="5" t="s">
        <v>14</v>
      </c>
      <c r="H104" s="5" t="n">
        <v>6</v>
      </c>
      <c r="I104" s="5" t="n">
        <v>6</v>
      </c>
      <c r="J104" s="7" t="n">
        <v>8000</v>
      </c>
      <c r="K104" s="13" t="s">
        <v>20</v>
      </c>
    </row>
    <row r="105" customFormat="false" ht="15.75" hidden="false" customHeight="true" outlineLevel="0" collapsed="false">
      <c r="A105" s="9" t="n">
        <v>102</v>
      </c>
      <c r="B105" s="10" t="s">
        <v>13</v>
      </c>
      <c r="C105" s="9" t="n">
        <v>8.3</v>
      </c>
      <c r="D105" s="9" t="n">
        <v>24</v>
      </c>
      <c r="E105" s="9" t="n">
        <v>0.77</v>
      </c>
      <c r="F105" s="9" t="n">
        <v>15</v>
      </c>
      <c r="G105" s="9" t="s">
        <v>14</v>
      </c>
      <c r="H105" s="9" t="n">
        <v>3</v>
      </c>
      <c r="I105" s="9" t="n">
        <v>1</v>
      </c>
      <c r="J105" s="11" t="n">
        <v>10900</v>
      </c>
      <c r="K105" s="8" t="s">
        <v>15</v>
      </c>
    </row>
    <row r="106" customFormat="false" ht="15.75" hidden="false" customHeight="true" outlineLevel="0" collapsed="false">
      <c r="A106" s="5" t="n">
        <v>103</v>
      </c>
      <c r="B106" s="6" t="s">
        <v>23</v>
      </c>
      <c r="C106" s="5" t="n">
        <v>5.6</v>
      </c>
      <c r="D106" s="5" t="n">
        <v>16</v>
      </c>
      <c r="E106" s="5" t="n">
        <v>0.57</v>
      </c>
      <c r="F106" s="5" t="n">
        <v>25</v>
      </c>
      <c r="G106" s="5" t="s">
        <v>17</v>
      </c>
      <c r="H106" s="5" t="n">
        <v>9</v>
      </c>
      <c r="I106" s="5" t="n">
        <v>13</v>
      </c>
      <c r="J106" s="7" t="n">
        <v>6200</v>
      </c>
      <c r="K106" s="12" t="s">
        <v>18</v>
      </c>
    </row>
    <row r="107" customFormat="false" ht="15.75" hidden="false" customHeight="true" outlineLevel="0" collapsed="false">
      <c r="A107" s="9" t="n">
        <v>104</v>
      </c>
      <c r="B107" s="10" t="s">
        <v>21</v>
      </c>
      <c r="C107" s="9" t="n">
        <v>6.7</v>
      </c>
      <c r="D107" s="9" t="n">
        <v>19</v>
      </c>
      <c r="E107" s="9" t="n">
        <v>0.66</v>
      </c>
      <c r="F107" s="9" t="n">
        <v>20</v>
      </c>
      <c r="G107" s="9" t="s">
        <v>14</v>
      </c>
      <c r="H107" s="9" t="n">
        <v>6</v>
      </c>
      <c r="I107" s="9" t="n">
        <v>5</v>
      </c>
      <c r="J107" s="11" t="n">
        <v>8500</v>
      </c>
      <c r="K107" s="13" t="s">
        <v>20</v>
      </c>
    </row>
    <row r="108" customFormat="false" ht="15.75" hidden="false" customHeight="true" outlineLevel="0" collapsed="false">
      <c r="A108" s="5" t="n">
        <v>105</v>
      </c>
      <c r="B108" s="6" t="s">
        <v>16</v>
      </c>
      <c r="C108" s="5" t="n">
        <v>4.9</v>
      </c>
      <c r="D108" s="5" t="n">
        <v>13</v>
      </c>
      <c r="E108" s="5" t="n">
        <v>0.51</v>
      </c>
      <c r="F108" s="5" t="n">
        <v>28</v>
      </c>
      <c r="G108" s="5" t="s">
        <v>17</v>
      </c>
      <c r="H108" s="5" t="n">
        <v>10</v>
      </c>
      <c r="I108" s="5" t="n">
        <v>17</v>
      </c>
      <c r="J108" s="7" t="n">
        <v>5300</v>
      </c>
      <c r="K108" s="12" t="s">
        <v>18</v>
      </c>
    </row>
    <row r="109" customFormat="false" ht="15.75" hidden="false" customHeight="true" outlineLevel="0" collapsed="false">
      <c r="A109" s="9" t="n">
        <v>106</v>
      </c>
      <c r="B109" s="10" t="s">
        <v>13</v>
      </c>
      <c r="C109" s="9" t="n">
        <v>7.7</v>
      </c>
      <c r="D109" s="9" t="n">
        <v>22</v>
      </c>
      <c r="E109" s="9" t="n">
        <v>0.73</v>
      </c>
      <c r="F109" s="9" t="n">
        <v>17</v>
      </c>
      <c r="G109" s="9" t="s">
        <v>14</v>
      </c>
      <c r="H109" s="9" t="n">
        <v>5</v>
      </c>
      <c r="I109" s="9" t="n">
        <v>2</v>
      </c>
      <c r="J109" s="11" t="n">
        <v>9800</v>
      </c>
      <c r="K109" s="8" t="s">
        <v>15</v>
      </c>
    </row>
    <row r="110" customFormat="false" ht="15.75" hidden="false" customHeight="true" outlineLevel="0" collapsed="false">
      <c r="A110" s="5" t="n">
        <v>107</v>
      </c>
      <c r="B110" s="6" t="s">
        <v>19</v>
      </c>
      <c r="C110" s="5" t="n">
        <v>6</v>
      </c>
      <c r="D110" s="5" t="n">
        <v>17</v>
      </c>
      <c r="E110" s="5" t="n">
        <v>0.6</v>
      </c>
      <c r="F110" s="5" t="n">
        <v>23</v>
      </c>
      <c r="G110" s="5" t="s">
        <v>17</v>
      </c>
      <c r="H110" s="5" t="n">
        <v>8</v>
      </c>
      <c r="I110" s="5" t="n">
        <v>10</v>
      </c>
      <c r="J110" s="7" t="n">
        <v>6900</v>
      </c>
      <c r="K110" s="13" t="s">
        <v>20</v>
      </c>
    </row>
    <row r="111" customFormat="false" ht="15.75" hidden="false" customHeight="true" outlineLevel="0" collapsed="false">
      <c r="A111" s="9" t="n">
        <v>108</v>
      </c>
      <c r="B111" s="10" t="s">
        <v>22</v>
      </c>
      <c r="C111" s="9" t="n">
        <v>7</v>
      </c>
      <c r="D111" s="9" t="n">
        <v>20</v>
      </c>
      <c r="E111" s="9" t="n">
        <v>0.68</v>
      </c>
      <c r="F111" s="9" t="n">
        <v>19</v>
      </c>
      <c r="G111" s="9" t="s">
        <v>14</v>
      </c>
      <c r="H111" s="9" t="n">
        <v>5</v>
      </c>
      <c r="I111" s="9" t="n">
        <v>5</v>
      </c>
      <c r="J111" s="11" t="n">
        <v>8800</v>
      </c>
      <c r="K111" s="13" t="s">
        <v>20</v>
      </c>
    </row>
    <row r="112" customFormat="false" ht="15.75" hidden="false" customHeight="true" outlineLevel="0" collapsed="false">
      <c r="A112" s="5" t="n">
        <v>109</v>
      </c>
      <c r="B112" s="6" t="s">
        <v>13</v>
      </c>
      <c r="C112" s="5" t="n">
        <v>8</v>
      </c>
      <c r="D112" s="5" t="n">
        <v>23</v>
      </c>
      <c r="E112" s="5" t="n">
        <v>0.75</v>
      </c>
      <c r="F112" s="5" t="n">
        <v>16</v>
      </c>
      <c r="G112" s="5" t="s">
        <v>14</v>
      </c>
      <c r="H112" s="5" t="n">
        <v>4</v>
      </c>
      <c r="I112" s="5" t="n">
        <v>2</v>
      </c>
      <c r="J112" s="7" t="n">
        <v>10400</v>
      </c>
      <c r="K112" s="8" t="s">
        <v>15</v>
      </c>
    </row>
    <row r="113" customFormat="false" ht="15.75" hidden="false" customHeight="true" outlineLevel="0" collapsed="false">
      <c r="A113" s="9" t="n">
        <v>110</v>
      </c>
      <c r="B113" s="10" t="s">
        <v>23</v>
      </c>
      <c r="C113" s="9" t="n">
        <v>5.4</v>
      </c>
      <c r="D113" s="9" t="n">
        <v>15</v>
      </c>
      <c r="E113" s="9" t="n">
        <v>0.55</v>
      </c>
      <c r="F113" s="9" t="n">
        <v>26</v>
      </c>
      <c r="G113" s="9" t="s">
        <v>17</v>
      </c>
      <c r="H113" s="9" t="n">
        <v>9</v>
      </c>
      <c r="I113" s="9" t="n">
        <v>14</v>
      </c>
      <c r="J113" s="11" t="n">
        <v>5900</v>
      </c>
      <c r="K113" s="12" t="s">
        <v>18</v>
      </c>
    </row>
    <row r="114" customFormat="false" ht="15.75" hidden="false" customHeight="true" outlineLevel="0" collapsed="false">
      <c r="A114" s="5" t="n">
        <v>111</v>
      </c>
      <c r="B114" s="6" t="s">
        <v>21</v>
      </c>
      <c r="C114" s="5" t="n">
        <v>6.8</v>
      </c>
      <c r="D114" s="5" t="n">
        <v>19</v>
      </c>
      <c r="E114" s="5" t="n">
        <v>0.67</v>
      </c>
      <c r="F114" s="5" t="n">
        <v>20</v>
      </c>
      <c r="G114" s="5" t="s">
        <v>14</v>
      </c>
      <c r="H114" s="5" t="n">
        <v>5</v>
      </c>
      <c r="I114" s="5" t="n">
        <v>5</v>
      </c>
      <c r="J114" s="7" t="n">
        <v>8600</v>
      </c>
      <c r="K114" s="13" t="s">
        <v>20</v>
      </c>
    </row>
    <row r="115" customFormat="false" ht="15.75" hidden="false" customHeight="true" outlineLevel="0" collapsed="false">
      <c r="A115" s="9" t="n">
        <v>112</v>
      </c>
      <c r="B115" s="10" t="s">
        <v>16</v>
      </c>
      <c r="C115" s="9" t="n">
        <v>5</v>
      </c>
      <c r="D115" s="9" t="n">
        <v>14</v>
      </c>
      <c r="E115" s="9" t="n">
        <v>0.52</v>
      </c>
      <c r="F115" s="9" t="n">
        <v>27</v>
      </c>
      <c r="G115" s="9" t="s">
        <v>17</v>
      </c>
      <c r="H115" s="9" t="n">
        <v>10</v>
      </c>
      <c r="I115" s="9" t="n">
        <v>16</v>
      </c>
      <c r="J115" s="11" t="n">
        <v>5400</v>
      </c>
      <c r="K115" s="12" t="s">
        <v>18</v>
      </c>
    </row>
    <row r="116" customFormat="false" ht="15.75" hidden="false" customHeight="true" outlineLevel="0" collapsed="false">
      <c r="A116" s="5" t="n">
        <v>113</v>
      </c>
      <c r="B116" s="6" t="s">
        <v>13</v>
      </c>
      <c r="C116" s="5" t="n">
        <v>7.4</v>
      </c>
      <c r="D116" s="5" t="n">
        <v>22</v>
      </c>
      <c r="E116" s="5" t="n">
        <v>0.71</v>
      </c>
      <c r="F116" s="5" t="n">
        <v>18</v>
      </c>
      <c r="G116" s="5" t="s">
        <v>14</v>
      </c>
      <c r="H116" s="5" t="n">
        <v>5</v>
      </c>
      <c r="I116" s="5" t="n">
        <v>3</v>
      </c>
      <c r="J116" s="7" t="n">
        <v>9400</v>
      </c>
      <c r="K116" s="8" t="s">
        <v>15</v>
      </c>
    </row>
    <row r="117" customFormat="false" ht="15.75" hidden="false" customHeight="true" outlineLevel="0" collapsed="false">
      <c r="A117" s="9" t="n">
        <v>114</v>
      </c>
      <c r="B117" s="10" t="s">
        <v>19</v>
      </c>
      <c r="C117" s="9" t="n">
        <v>6.7</v>
      </c>
      <c r="D117" s="9" t="n">
        <v>19</v>
      </c>
      <c r="E117" s="9" t="n">
        <v>0.66</v>
      </c>
      <c r="F117" s="9" t="n">
        <v>20</v>
      </c>
      <c r="G117" s="9" t="s">
        <v>14</v>
      </c>
      <c r="H117" s="9" t="n">
        <v>5</v>
      </c>
      <c r="I117" s="9" t="n">
        <v>5</v>
      </c>
      <c r="J117" s="11" t="n">
        <v>8500</v>
      </c>
      <c r="K117" s="13" t="s">
        <v>20</v>
      </c>
    </row>
    <row r="118" customFormat="false" ht="15.75" hidden="false" customHeight="true" outlineLevel="0" collapsed="false">
      <c r="A118" s="5" t="n">
        <v>115</v>
      </c>
      <c r="B118" s="6" t="s">
        <v>22</v>
      </c>
      <c r="C118" s="5" t="n">
        <v>6.5</v>
      </c>
      <c r="D118" s="5" t="n">
        <v>18</v>
      </c>
      <c r="E118" s="5" t="n">
        <v>0.64</v>
      </c>
      <c r="F118" s="5" t="n">
        <v>21</v>
      </c>
      <c r="G118" s="5" t="s">
        <v>14</v>
      </c>
      <c r="H118" s="5" t="n">
        <v>6</v>
      </c>
      <c r="I118" s="5" t="n">
        <v>6</v>
      </c>
      <c r="J118" s="7" t="n">
        <v>8200</v>
      </c>
      <c r="K118" s="13" t="s">
        <v>20</v>
      </c>
    </row>
    <row r="119" customFormat="false" ht="15.75" hidden="false" customHeight="true" outlineLevel="0" collapsed="false">
      <c r="A119" s="9" t="n">
        <v>116</v>
      </c>
      <c r="B119" s="10" t="s">
        <v>13</v>
      </c>
      <c r="C119" s="9" t="n">
        <v>8.4</v>
      </c>
      <c r="D119" s="9" t="n">
        <v>25</v>
      </c>
      <c r="E119" s="9" t="n">
        <v>0.78</v>
      </c>
      <c r="F119" s="9" t="n">
        <v>15</v>
      </c>
      <c r="G119" s="9" t="s">
        <v>14</v>
      </c>
      <c r="H119" s="9" t="n">
        <v>3</v>
      </c>
      <c r="I119" s="9" t="n">
        <v>1</v>
      </c>
      <c r="J119" s="11" t="n">
        <v>11200</v>
      </c>
      <c r="K119" s="8" t="s">
        <v>15</v>
      </c>
    </row>
    <row r="120" customFormat="false" ht="15.75" hidden="false" customHeight="true" outlineLevel="0" collapsed="false">
      <c r="A120" s="5" t="n">
        <v>117</v>
      </c>
      <c r="B120" s="6" t="s">
        <v>23</v>
      </c>
      <c r="C120" s="5" t="n">
        <v>5.8</v>
      </c>
      <c r="D120" s="5" t="n">
        <v>16</v>
      </c>
      <c r="E120" s="5" t="n">
        <v>0.58</v>
      </c>
      <c r="F120" s="5" t="n">
        <v>24</v>
      </c>
      <c r="G120" s="5" t="s">
        <v>17</v>
      </c>
      <c r="H120" s="5" t="n">
        <v>8</v>
      </c>
      <c r="I120" s="5" t="n">
        <v>12</v>
      </c>
      <c r="J120" s="7" t="n">
        <v>6500</v>
      </c>
      <c r="K120" s="12" t="s">
        <v>18</v>
      </c>
    </row>
    <row r="121" customFormat="false" ht="15.75" hidden="false" customHeight="true" outlineLevel="0" collapsed="false">
      <c r="A121" s="9" t="n">
        <v>118</v>
      </c>
      <c r="B121" s="10" t="s">
        <v>21</v>
      </c>
      <c r="C121" s="9" t="n">
        <v>7.3</v>
      </c>
      <c r="D121" s="9" t="n">
        <v>21</v>
      </c>
      <c r="E121" s="9" t="n">
        <v>0.71</v>
      </c>
      <c r="F121" s="9" t="n">
        <v>18</v>
      </c>
      <c r="G121" s="9" t="s">
        <v>14</v>
      </c>
      <c r="H121" s="9" t="n">
        <v>5</v>
      </c>
      <c r="I121" s="9" t="n">
        <v>4</v>
      </c>
      <c r="J121" s="11" t="n">
        <v>9200</v>
      </c>
      <c r="K121" s="8" t="s">
        <v>15</v>
      </c>
    </row>
    <row r="122" customFormat="false" ht="15.75" hidden="false" customHeight="true" outlineLevel="0" collapsed="false">
      <c r="A122" s="5" t="n">
        <v>119</v>
      </c>
      <c r="B122" s="6" t="s">
        <v>16</v>
      </c>
      <c r="C122" s="5" t="n">
        <v>4.7</v>
      </c>
      <c r="D122" s="5" t="n">
        <v>13</v>
      </c>
      <c r="E122" s="5" t="n">
        <v>0.5</v>
      </c>
      <c r="F122" s="5" t="n">
        <v>29</v>
      </c>
      <c r="G122" s="5" t="s">
        <v>17</v>
      </c>
      <c r="H122" s="5" t="n">
        <v>11</v>
      </c>
      <c r="I122" s="5" t="n">
        <v>19</v>
      </c>
      <c r="J122" s="7" t="n">
        <v>5000</v>
      </c>
      <c r="K122" s="12" t="s">
        <v>18</v>
      </c>
    </row>
    <row r="123" customFormat="false" ht="15.75" hidden="false" customHeight="true" outlineLevel="0" collapsed="false">
      <c r="A123" s="9" t="n">
        <v>120</v>
      </c>
      <c r="B123" s="10" t="s">
        <v>13</v>
      </c>
      <c r="C123" s="9" t="n">
        <v>7.8</v>
      </c>
      <c r="D123" s="9" t="n">
        <v>23</v>
      </c>
      <c r="E123" s="9" t="n">
        <v>0.74</v>
      </c>
      <c r="F123" s="9" t="n">
        <v>17</v>
      </c>
      <c r="G123" s="9" t="s">
        <v>14</v>
      </c>
      <c r="H123" s="9" t="n">
        <v>4</v>
      </c>
      <c r="I123" s="9" t="n">
        <v>2</v>
      </c>
      <c r="J123" s="11" t="n">
        <v>10000</v>
      </c>
      <c r="K123" s="8" t="s">
        <v>15</v>
      </c>
    </row>
    <row r="124" customFormat="false" ht="15.75" hidden="false" customHeight="true" outlineLevel="0" collapsed="false">
      <c r="A124" s="5" t="n">
        <v>121</v>
      </c>
      <c r="B124" s="6" t="s">
        <v>16</v>
      </c>
      <c r="C124" s="5" t="n">
        <v>4.8</v>
      </c>
      <c r="D124" s="5" t="n">
        <v>14</v>
      </c>
      <c r="E124" s="5" t="n">
        <v>0.51</v>
      </c>
      <c r="F124" s="5" t="n">
        <v>27</v>
      </c>
      <c r="G124" s="5" t="s">
        <v>17</v>
      </c>
      <c r="H124" s="5" t="n">
        <v>9</v>
      </c>
      <c r="I124" s="5" t="n">
        <v>15</v>
      </c>
      <c r="J124" s="7" t="n">
        <v>5300</v>
      </c>
      <c r="K124" s="12" t="s">
        <v>18</v>
      </c>
    </row>
    <row r="125" customFormat="false" ht="15.75" hidden="false" customHeight="true" outlineLevel="0" collapsed="false">
      <c r="A125" s="9" t="n">
        <v>122</v>
      </c>
      <c r="B125" s="10" t="s">
        <v>13</v>
      </c>
      <c r="C125" s="9" t="n">
        <v>8.2</v>
      </c>
      <c r="D125" s="9" t="n">
        <v>24</v>
      </c>
      <c r="E125" s="9" t="n">
        <v>0.77</v>
      </c>
      <c r="F125" s="9" t="n">
        <v>16</v>
      </c>
      <c r="G125" s="9" t="s">
        <v>14</v>
      </c>
      <c r="H125" s="9" t="n">
        <v>4</v>
      </c>
      <c r="I125" s="9" t="n">
        <v>0</v>
      </c>
      <c r="J125" s="11" t="n">
        <v>10600</v>
      </c>
      <c r="K125" s="8" t="s">
        <v>15</v>
      </c>
    </row>
    <row r="126" customFormat="false" ht="15.75" hidden="false" customHeight="true" outlineLevel="0" collapsed="false">
      <c r="A126" s="5" t="n">
        <v>123</v>
      </c>
      <c r="B126" s="6" t="s">
        <v>24</v>
      </c>
      <c r="C126" s="5" t="n">
        <v>5.1</v>
      </c>
      <c r="D126" s="5" t="n">
        <v>13</v>
      </c>
      <c r="E126" s="5" t="n">
        <v>0.54</v>
      </c>
      <c r="F126" s="5" t="n">
        <v>27</v>
      </c>
      <c r="G126" s="5" t="s">
        <v>17</v>
      </c>
      <c r="H126" s="5" t="n">
        <v>9</v>
      </c>
      <c r="I126" s="5" t="n">
        <v>16</v>
      </c>
      <c r="J126" s="7" t="n">
        <v>5500</v>
      </c>
      <c r="K126" s="12" t="s">
        <v>18</v>
      </c>
    </row>
    <row r="127" customFormat="false" ht="15.75" hidden="false" customHeight="true" outlineLevel="0" collapsed="false">
      <c r="A127" s="9" t="n">
        <v>124</v>
      </c>
      <c r="B127" s="10" t="s">
        <v>23</v>
      </c>
      <c r="C127" s="9" t="n">
        <v>7</v>
      </c>
      <c r="D127" s="9" t="n">
        <v>17</v>
      </c>
      <c r="E127" s="9" t="n">
        <v>0.67</v>
      </c>
      <c r="F127" s="9" t="n">
        <v>20</v>
      </c>
      <c r="G127" s="9" t="s">
        <v>14</v>
      </c>
      <c r="H127" s="9" t="n">
        <v>5</v>
      </c>
      <c r="I127" s="9" t="n">
        <v>5</v>
      </c>
      <c r="J127" s="11" t="n">
        <v>8700</v>
      </c>
      <c r="K127" s="13" t="s">
        <v>20</v>
      </c>
    </row>
    <row r="128" customFormat="false" ht="15.75" hidden="false" customHeight="true" outlineLevel="0" collapsed="false">
      <c r="A128" s="5" t="n">
        <v>125</v>
      </c>
      <c r="B128" s="6" t="s">
        <v>19</v>
      </c>
      <c r="C128" s="5" t="n">
        <v>7.3</v>
      </c>
      <c r="D128" s="5" t="n">
        <v>17</v>
      </c>
      <c r="E128" s="5" t="n">
        <v>0.69</v>
      </c>
      <c r="F128" s="5" t="n">
        <v>18</v>
      </c>
      <c r="G128" s="5" t="s">
        <v>14</v>
      </c>
      <c r="H128" s="5" t="n">
        <v>4</v>
      </c>
      <c r="I128" s="5" t="n">
        <v>4</v>
      </c>
      <c r="J128" s="7" t="n">
        <v>9200</v>
      </c>
      <c r="K128" s="13" t="s">
        <v>20</v>
      </c>
    </row>
    <row r="129" customFormat="false" ht="15.75" hidden="false" customHeight="true" outlineLevel="0" collapsed="false">
      <c r="A129" s="9" t="n">
        <v>126</v>
      </c>
      <c r="B129" s="10" t="s">
        <v>22</v>
      </c>
      <c r="C129" s="9" t="n">
        <v>6.8</v>
      </c>
      <c r="D129" s="9" t="n">
        <v>19</v>
      </c>
      <c r="E129" s="9" t="n">
        <v>0.67</v>
      </c>
      <c r="F129" s="9" t="n">
        <v>20</v>
      </c>
      <c r="G129" s="9" t="s">
        <v>14</v>
      </c>
      <c r="H129" s="9" t="n">
        <v>6</v>
      </c>
      <c r="I129" s="9" t="n">
        <v>4</v>
      </c>
      <c r="J129" s="11" t="n">
        <v>8400</v>
      </c>
      <c r="K129" s="13" t="s">
        <v>20</v>
      </c>
    </row>
    <row r="130" customFormat="false" ht="15.75" hidden="false" customHeight="true" outlineLevel="0" collapsed="false">
      <c r="A130" s="5" t="n">
        <v>127</v>
      </c>
      <c r="B130" s="6" t="s">
        <v>13</v>
      </c>
      <c r="C130" s="5" t="n">
        <v>8.3</v>
      </c>
      <c r="D130" s="5" t="n">
        <v>23</v>
      </c>
      <c r="E130" s="5" t="n">
        <v>0.77</v>
      </c>
      <c r="F130" s="5" t="n">
        <v>15</v>
      </c>
      <c r="G130" s="5" t="s">
        <v>14</v>
      </c>
      <c r="H130" s="5" t="n">
        <v>3</v>
      </c>
      <c r="I130" s="5" t="n">
        <v>0</v>
      </c>
      <c r="J130" s="7" t="n">
        <v>10800</v>
      </c>
      <c r="K130" s="8" t="s">
        <v>15</v>
      </c>
    </row>
    <row r="131" customFormat="false" ht="15.75" hidden="false" customHeight="true" outlineLevel="0" collapsed="false">
      <c r="A131" s="9" t="n">
        <v>128</v>
      </c>
      <c r="B131" s="10" t="s">
        <v>13</v>
      </c>
      <c r="C131" s="9" t="n">
        <v>7.2</v>
      </c>
      <c r="D131" s="9" t="n">
        <v>22</v>
      </c>
      <c r="E131" s="9" t="n">
        <v>0.69</v>
      </c>
      <c r="F131" s="9" t="n">
        <v>18</v>
      </c>
      <c r="G131" s="9" t="s">
        <v>14</v>
      </c>
      <c r="H131" s="9" t="n">
        <v>6</v>
      </c>
      <c r="I131" s="9" t="n">
        <v>3</v>
      </c>
      <c r="J131" s="11" t="n">
        <v>9100</v>
      </c>
      <c r="K131" s="8" t="s">
        <v>15</v>
      </c>
    </row>
    <row r="132" customFormat="false" ht="15.75" hidden="false" customHeight="true" outlineLevel="0" collapsed="false">
      <c r="A132" s="5" t="n">
        <v>129</v>
      </c>
      <c r="B132" s="6" t="s">
        <v>13</v>
      </c>
      <c r="C132" s="5" t="n">
        <v>7.5</v>
      </c>
      <c r="D132" s="5" t="n">
        <v>22</v>
      </c>
      <c r="E132" s="5" t="n">
        <v>0.72</v>
      </c>
      <c r="F132" s="5" t="n">
        <v>17</v>
      </c>
      <c r="G132" s="5" t="s">
        <v>14</v>
      </c>
      <c r="H132" s="5" t="n">
        <v>4</v>
      </c>
      <c r="I132" s="5" t="n">
        <v>3</v>
      </c>
      <c r="J132" s="7" t="n">
        <v>9700</v>
      </c>
      <c r="K132" s="8" t="s">
        <v>15</v>
      </c>
    </row>
    <row r="133" customFormat="false" ht="15.75" hidden="false" customHeight="true" outlineLevel="0" collapsed="false">
      <c r="A133" s="9" t="n">
        <v>130</v>
      </c>
      <c r="B133" s="10" t="s">
        <v>22</v>
      </c>
      <c r="C133" s="9" t="n">
        <v>6.2</v>
      </c>
      <c r="D133" s="9" t="n">
        <v>20</v>
      </c>
      <c r="E133" s="9" t="n">
        <v>0.64</v>
      </c>
      <c r="F133" s="9" t="n">
        <v>22</v>
      </c>
      <c r="G133" s="9" t="s">
        <v>14</v>
      </c>
      <c r="H133" s="9" t="n">
        <v>7</v>
      </c>
      <c r="I133" s="9" t="n">
        <v>8</v>
      </c>
      <c r="J133" s="11" t="n">
        <v>7900</v>
      </c>
      <c r="K133" s="13" t="s">
        <v>20</v>
      </c>
    </row>
    <row r="134" customFormat="false" ht="15.75" hidden="false" customHeight="true" outlineLevel="0" collapsed="false">
      <c r="A134" s="5" t="n">
        <v>131</v>
      </c>
      <c r="B134" s="6" t="s">
        <v>19</v>
      </c>
      <c r="C134" s="5" t="n">
        <v>7.1</v>
      </c>
      <c r="D134" s="5" t="n">
        <v>20</v>
      </c>
      <c r="E134" s="5" t="n">
        <v>0.7</v>
      </c>
      <c r="F134" s="5" t="n">
        <v>18</v>
      </c>
      <c r="G134" s="5" t="s">
        <v>14</v>
      </c>
      <c r="H134" s="5" t="n">
        <v>5</v>
      </c>
      <c r="I134" s="5" t="n">
        <v>5</v>
      </c>
      <c r="J134" s="7" t="n">
        <v>9100</v>
      </c>
      <c r="K134" s="13" t="s">
        <v>20</v>
      </c>
    </row>
    <row r="135" customFormat="false" ht="15.75" hidden="false" customHeight="true" outlineLevel="0" collapsed="false">
      <c r="A135" s="9" t="n">
        <v>132</v>
      </c>
      <c r="B135" s="10" t="s">
        <v>13</v>
      </c>
      <c r="C135" s="9" t="n">
        <v>7.5</v>
      </c>
      <c r="D135" s="9" t="n">
        <v>23</v>
      </c>
      <c r="E135" s="9" t="n">
        <v>0.73</v>
      </c>
      <c r="F135" s="9" t="n">
        <v>17</v>
      </c>
      <c r="G135" s="9" t="s">
        <v>14</v>
      </c>
      <c r="H135" s="9" t="n">
        <v>5</v>
      </c>
      <c r="I135" s="9" t="n">
        <v>4</v>
      </c>
      <c r="J135" s="11" t="n">
        <v>9900</v>
      </c>
      <c r="K135" s="8" t="s">
        <v>15</v>
      </c>
    </row>
    <row r="136" customFormat="false" ht="15.75" hidden="false" customHeight="true" outlineLevel="0" collapsed="false">
      <c r="A136" s="5" t="n">
        <v>133</v>
      </c>
      <c r="B136" s="6" t="s">
        <v>23</v>
      </c>
      <c r="C136" s="5" t="n">
        <v>5.2</v>
      </c>
      <c r="D136" s="5" t="n">
        <v>13</v>
      </c>
      <c r="E136" s="5" t="n">
        <v>0.54</v>
      </c>
      <c r="F136" s="5" t="n">
        <v>27</v>
      </c>
      <c r="G136" s="5" t="s">
        <v>17</v>
      </c>
      <c r="H136" s="5" t="n">
        <v>8</v>
      </c>
      <c r="I136" s="5" t="n">
        <v>13</v>
      </c>
      <c r="J136" s="7" t="n">
        <v>5700</v>
      </c>
      <c r="K136" s="12" t="s">
        <v>18</v>
      </c>
    </row>
    <row r="137" customFormat="false" ht="15.75" hidden="false" customHeight="true" outlineLevel="0" collapsed="false">
      <c r="A137" s="9" t="n">
        <v>134</v>
      </c>
      <c r="B137" s="10" t="s">
        <v>16</v>
      </c>
      <c r="C137" s="9" t="n">
        <v>5.5</v>
      </c>
      <c r="D137" s="9" t="n">
        <v>13</v>
      </c>
      <c r="E137" s="9" t="n">
        <v>0.55</v>
      </c>
      <c r="F137" s="9" t="n">
        <v>25</v>
      </c>
      <c r="G137" s="9" t="s">
        <v>17</v>
      </c>
      <c r="H137" s="9" t="n">
        <v>9</v>
      </c>
      <c r="I137" s="9" t="n">
        <v>15</v>
      </c>
      <c r="J137" s="11" t="n">
        <v>6100</v>
      </c>
      <c r="K137" s="12" t="s">
        <v>18</v>
      </c>
    </row>
    <row r="138" customFormat="false" ht="15.75" hidden="false" customHeight="true" outlineLevel="0" collapsed="false">
      <c r="A138" s="5" t="n">
        <v>135</v>
      </c>
      <c r="B138" s="6" t="s">
        <v>16</v>
      </c>
      <c r="C138" s="5" t="n">
        <v>5.7</v>
      </c>
      <c r="D138" s="5" t="n">
        <v>16</v>
      </c>
      <c r="E138" s="5" t="n">
        <v>0.58</v>
      </c>
      <c r="F138" s="5" t="n">
        <v>23</v>
      </c>
      <c r="G138" s="5" t="s">
        <v>17</v>
      </c>
      <c r="H138" s="5" t="n">
        <v>8</v>
      </c>
      <c r="I138" s="5" t="n">
        <v>13</v>
      </c>
      <c r="J138" s="7" t="n">
        <v>6500</v>
      </c>
      <c r="K138" s="12" t="s">
        <v>18</v>
      </c>
    </row>
    <row r="139" customFormat="false" ht="15.75" hidden="false" customHeight="true" outlineLevel="0" collapsed="false">
      <c r="A139" s="9" t="n">
        <v>136</v>
      </c>
      <c r="B139" s="10" t="s">
        <v>23</v>
      </c>
      <c r="C139" s="9" t="n">
        <v>5.3</v>
      </c>
      <c r="D139" s="9" t="n">
        <v>16</v>
      </c>
      <c r="E139" s="9" t="n">
        <v>0.55</v>
      </c>
      <c r="F139" s="9" t="n">
        <v>25</v>
      </c>
      <c r="G139" s="9" t="s">
        <v>17</v>
      </c>
      <c r="H139" s="9" t="n">
        <v>9</v>
      </c>
      <c r="I139" s="9" t="n">
        <v>15</v>
      </c>
      <c r="J139" s="11" t="n">
        <v>6100</v>
      </c>
      <c r="K139" s="12" t="s">
        <v>18</v>
      </c>
    </row>
    <row r="140" customFormat="false" ht="15.75" hidden="false" customHeight="true" outlineLevel="0" collapsed="false">
      <c r="A140" s="5" t="n">
        <v>137</v>
      </c>
      <c r="B140" s="6" t="s">
        <v>19</v>
      </c>
      <c r="C140" s="5" t="n">
        <v>6.4</v>
      </c>
      <c r="D140" s="5" t="n">
        <v>20</v>
      </c>
      <c r="E140" s="5" t="n">
        <v>0.64</v>
      </c>
      <c r="F140" s="5" t="n">
        <v>23</v>
      </c>
      <c r="G140" s="5" t="s">
        <v>17</v>
      </c>
      <c r="H140" s="5" t="n">
        <v>7</v>
      </c>
      <c r="I140" s="5" t="n">
        <v>11</v>
      </c>
      <c r="J140" s="7" t="n">
        <v>7600</v>
      </c>
      <c r="K140" s="13" t="s">
        <v>20</v>
      </c>
    </row>
    <row r="141" customFormat="false" ht="15.75" hidden="false" customHeight="true" outlineLevel="0" collapsed="false">
      <c r="A141" s="9" t="n">
        <v>138</v>
      </c>
      <c r="B141" s="10" t="s">
        <v>16</v>
      </c>
      <c r="C141" s="9" t="n">
        <v>4.7</v>
      </c>
      <c r="D141" s="9" t="n">
        <v>11</v>
      </c>
      <c r="E141" s="9" t="n">
        <v>0.49</v>
      </c>
      <c r="F141" s="9" t="n">
        <v>28</v>
      </c>
      <c r="G141" s="9" t="s">
        <v>17</v>
      </c>
      <c r="H141" s="9" t="n">
        <v>10</v>
      </c>
      <c r="I141" s="9" t="n">
        <v>15</v>
      </c>
      <c r="J141" s="11" t="n">
        <v>4600</v>
      </c>
      <c r="K141" s="12" t="s">
        <v>18</v>
      </c>
    </row>
    <row r="142" customFormat="false" ht="15.75" hidden="false" customHeight="true" outlineLevel="0" collapsed="false">
      <c r="A142" s="5" t="n">
        <v>139</v>
      </c>
      <c r="B142" s="6" t="s">
        <v>13</v>
      </c>
      <c r="C142" s="5" t="n">
        <v>8.3</v>
      </c>
      <c r="D142" s="5" t="n">
        <v>24</v>
      </c>
      <c r="E142" s="5" t="n">
        <v>0.78</v>
      </c>
      <c r="F142" s="5" t="n">
        <v>14</v>
      </c>
      <c r="G142" s="5" t="s">
        <v>14</v>
      </c>
      <c r="H142" s="5" t="n">
        <v>4</v>
      </c>
      <c r="I142" s="5" t="n">
        <v>0</v>
      </c>
      <c r="J142" s="7" t="n">
        <v>10800</v>
      </c>
      <c r="K142" s="8" t="s">
        <v>15</v>
      </c>
    </row>
    <row r="143" customFormat="false" ht="15.75" hidden="false" customHeight="true" outlineLevel="0" collapsed="false">
      <c r="A143" s="9" t="n">
        <v>140</v>
      </c>
      <c r="B143" s="10" t="s">
        <v>21</v>
      </c>
      <c r="C143" s="9" t="n">
        <v>7.1</v>
      </c>
      <c r="D143" s="9" t="n">
        <v>23</v>
      </c>
      <c r="E143" s="9" t="n">
        <v>0.7</v>
      </c>
      <c r="F143" s="9" t="n">
        <v>19</v>
      </c>
      <c r="G143" s="9" t="s">
        <v>14</v>
      </c>
      <c r="H143" s="9" t="n">
        <v>6</v>
      </c>
      <c r="I143" s="9" t="n">
        <v>6</v>
      </c>
      <c r="J143" s="11" t="n">
        <v>9100</v>
      </c>
      <c r="K143" s="8" t="s">
        <v>15</v>
      </c>
    </row>
    <row r="144" customFormat="false" ht="15.75" hidden="false" customHeight="true" outlineLevel="0" collapsed="false">
      <c r="A144" s="5" t="n">
        <v>141</v>
      </c>
      <c r="B144" s="6" t="s">
        <v>22</v>
      </c>
      <c r="C144" s="5" t="n">
        <v>6.9</v>
      </c>
      <c r="D144" s="5" t="n">
        <v>19</v>
      </c>
      <c r="E144" s="5" t="n">
        <v>0.69</v>
      </c>
      <c r="F144" s="5" t="n">
        <v>20</v>
      </c>
      <c r="G144" s="5" t="s">
        <v>14</v>
      </c>
      <c r="H144" s="5" t="n">
        <v>5</v>
      </c>
      <c r="I144" s="5" t="n">
        <v>6</v>
      </c>
      <c r="J144" s="7" t="n">
        <v>9000</v>
      </c>
      <c r="K144" s="13" t="s">
        <v>20</v>
      </c>
    </row>
    <row r="145" customFormat="false" ht="15.75" hidden="false" customHeight="true" outlineLevel="0" collapsed="false">
      <c r="A145" s="9" t="n">
        <v>142</v>
      </c>
      <c r="B145" s="10" t="s">
        <v>23</v>
      </c>
      <c r="C145" s="9" t="n">
        <v>5.1</v>
      </c>
      <c r="D145" s="9" t="n">
        <v>15</v>
      </c>
      <c r="E145" s="9" t="n">
        <v>0.52</v>
      </c>
      <c r="F145" s="9" t="n">
        <v>27</v>
      </c>
      <c r="G145" s="9" t="s">
        <v>17</v>
      </c>
      <c r="H145" s="9" t="n">
        <v>10</v>
      </c>
      <c r="I145" s="9" t="n">
        <v>15</v>
      </c>
      <c r="J145" s="11" t="n">
        <v>5400</v>
      </c>
      <c r="K145" s="12" t="s">
        <v>18</v>
      </c>
    </row>
    <row r="146" customFormat="false" ht="15.75" hidden="false" customHeight="true" outlineLevel="0" collapsed="false">
      <c r="A146" s="5" t="n">
        <v>143</v>
      </c>
      <c r="B146" s="6" t="s">
        <v>21</v>
      </c>
      <c r="C146" s="5" t="n">
        <v>6.3</v>
      </c>
      <c r="D146" s="5" t="n">
        <v>18</v>
      </c>
      <c r="E146" s="5" t="n">
        <v>0.62</v>
      </c>
      <c r="F146" s="5" t="n">
        <v>21</v>
      </c>
      <c r="G146" s="5" t="s">
        <v>14</v>
      </c>
      <c r="H146" s="5" t="n">
        <v>6</v>
      </c>
      <c r="I146" s="5" t="n">
        <v>9</v>
      </c>
      <c r="J146" s="7" t="n">
        <v>7900</v>
      </c>
      <c r="K146" s="13" t="s">
        <v>20</v>
      </c>
    </row>
    <row r="147" customFormat="false" ht="15.75" hidden="false" customHeight="true" outlineLevel="0" collapsed="false">
      <c r="A147" s="9" t="n">
        <v>144</v>
      </c>
      <c r="B147" s="10" t="s">
        <v>21</v>
      </c>
      <c r="C147" s="9" t="n">
        <v>6.1</v>
      </c>
      <c r="D147" s="9" t="n">
        <v>20</v>
      </c>
      <c r="E147" s="9" t="n">
        <v>0.62</v>
      </c>
      <c r="F147" s="9" t="n">
        <v>22</v>
      </c>
      <c r="G147" s="9" t="s">
        <v>14</v>
      </c>
      <c r="H147" s="9" t="n">
        <v>8</v>
      </c>
      <c r="I147" s="9" t="n">
        <v>7</v>
      </c>
      <c r="J147" s="11" t="n">
        <v>7400</v>
      </c>
      <c r="K147" s="13" t="s">
        <v>20</v>
      </c>
    </row>
    <row r="148" customFormat="false" ht="15.75" hidden="false" customHeight="true" outlineLevel="0" collapsed="false">
      <c r="A148" s="5" t="n">
        <v>145</v>
      </c>
      <c r="B148" s="6" t="s">
        <v>19</v>
      </c>
      <c r="C148" s="5" t="n">
        <v>8.2</v>
      </c>
      <c r="D148" s="5" t="n">
        <v>21</v>
      </c>
      <c r="E148" s="5" t="n">
        <v>0.75</v>
      </c>
      <c r="F148" s="5" t="n">
        <v>16</v>
      </c>
      <c r="G148" s="5" t="s">
        <v>14</v>
      </c>
      <c r="H148" s="5" t="n">
        <v>3</v>
      </c>
      <c r="I148" s="5" t="n">
        <v>0</v>
      </c>
      <c r="J148" s="7" t="n">
        <v>10300</v>
      </c>
      <c r="K148" s="8" t="s">
        <v>15</v>
      </c>
    </row>
    <row r="149" customFormat="false" ht="15.75" hidden="false" customHeight="true" outlineLevel="0" collapsed="false">
      <c r="A149" s="9" t="n">
        <v>146</v>
      </c>
      <c r="B149" s="10" t="s">
        <v>16</v>
      </c>
      <c r="C149" s="9" t="n">
        <v>5</v>
      </c>
      <c r="D149" s="9" t="n">
        <v>17</v>
      </c>
      <c r="E149" s="9" t="n">
        <v>0.53</v>
      </c>
      <c r="F149" s="9" t="n">
        <v>26</v>
      </c>
      <c r="G149" s="9" t="s">
        <v>17</v>
      </c>
      <c r="H149" s="9" t="n">
        <v>10</v>
      </c>
      <c r="I149" s="9" t="n">
        <v>15</v>
      </c>
      <c r="J149" s="11" t="n">
        <v>5700</v>
      </c>
      <c r="K149" s="12" t="s">
        <v>18</v>
      </c>
    </row>
    <row r="150" customFormat="false" ht="15.75" hidden="false" customHeight="true" outlineLevel="0" collapsed="false">
      <c r="A150" s="5" t="n">
        <v>147</v>
      </c>
      <c r="B150" s="6" t="s">
        <v>19</v>
      </c>
      <c r="C150" s="5" t="n">
        <v>5.8</v>
      </c>
      <c r="D150" s="5" t="n">
        <v>19</v>
      </c>
      <c r="E150" s="5" t="n">
        <v>0.6</v>
      </c>
      <c r="F150" s="5" t="n">
        <v>24</v>
      </c>
      <c r="G150" s="5" t="s">
        <v>17</v>
      </c>
      <c r="H150" s="5" t="n">
        <v>8</v>
      </c>
      <c r="I150" s="5" t="n">
        <v>11</v>
      </c>
      <c r="J150" s="7" t="n">
        <v>6700</v>
      </c>
      <c r="K150" s="13" t="s">
        <v>20</v>
      </c>
    </row>
    <row r="151" customFormat="false" ht="15.75" hidden="false" customHeight="true" outlineLevel="0" collapsed="false">
      <c r="A151" s="9" t="n">
        <v>148</v>
      </c>
      <c r="B151" s="10" t="s">
        <v>22</v>
      </c>
      <c r="C151" s="9" t="n">
        <v>6.7</v>
      </c>
      <c r="D151" s="9" t="n">
        <v>17</v>
      </c>
      <c r="E151" s="9" t="n">
        <v>0.64</v>
      </c>
      <c r="F151" s="9" t="n">
        <v>20</v>
      </c>
      <c r="G151" s="9" t="s">
        <v>14</v>
      </c>
      <c r="H151" s="9" t="n">
        <v>5</v>
      </c>
      <c r="I151" s="9" t="n">
        <v>6</v>
      </c>
      <c r="J151" s="11" t="n">
        <v>8300</v>
      </c>
      <c r="K151" s="13" t="s">
        <v>20</v>
      </c>
    </row>
    <row r="152" customFormat="false" ht="15.75" hidden="false" customHeight="true" outlineLevel="0" collapsed="false">
      <c r="A152" s="5" t="n">
        <v>149</v>
      </c>
      <c r="B152" s="6" t="s">
        <v>13</v>
      </c>
      <c r="C152" s="5" t="n">
        <v>7.7</v>
      </c>
      <c r="D152" s="5" t="n">
        <v>23</v>
      </c>
      <c r="E152" s="5" t="n">
        <v>0.73</v>
      </c>
      <c r="F152" s="5" t="n">
        <v>17</v>
      </c>
      <c r="G152" s="5" t="s">
        <v>14</v>
      </c>
      <c r="H152" s="5" t="n">
        <v>4</v>
      </c>
      <c r="I152" s="5" t="n">
        <v>2</v>
      </c>
      <c r="J152" s="7" t="n">
        <v>9900</v>
      </c>
      <c r="K152" s="8" t="s">
        <v>15</v>
      </c>
    </row>
    <row r="153" customFormat="false" ht="15.75" hidden="false" customHeight="true" outlineLevel="0" collapsed="false">
      <c r="A153" s="9" t="n">
        <v>150</v>
      </c>
      <c r="B153" s="10" t="s">
        <v>22</v>
      </c>
      <c r="C153" s="9" t="n">
        <v>7.3</v>
      </c>
      <c r="D153" s="9" t="n">
        <v>18</v>
      </c>
      <c r="E153" s="9" t="n">
        <v>0.7</v>
      </c>
      <c r="F153" s="9" t="n">
        <v>19</v>
      </c>
      <c r="G153" s="9" t="s">
        <v>14</v>
      </c>
      <c r="H153" s="9" t="n">
        <v>4</v>
      </c>
      <c r="I153" s="9" t="n">
        <v>3</v>
      </c>
      <c r="J153" s="11" t="n">
        <v>9100</v>
      </c>
      <c r="K153" s="13" t="s">
        <v>20</v>
      </c>
    </row>
    <row r="154" customFormat="false" ht="15.75" hidden="false" customHeight="true" outlineLevel="0" collapsed="false">
      <c r="A154" s="5" t="n">
        <v>151</v>
      </c>
      <c r="B154" s="6" t="s">
        <v>13</v>
      </c>
      <c r="C154" s="5" t="n">
        <v>7.7</v>
      </c>
      <c r="D154" s="5" t="n">
        <v>22</v>
      </c>
      <c r="E154" s="5" t="n">
        <v>0.73</v>
      </c>
      <c r="F154" s="5" t="n">
        <v>18</v>
      </c>
      <c r="G154" s="5" t="s">
        <v>14</v>
      </c>
      <c r="H154" s="5" t="n">
        <v>5</v>
      </c>
      <c r="I154" s="5" t="n">
        <v>2</v>
      </c>
      <c r="J154" s="7" t="n">
        <v>9700</v>
      </c>
      <c r="K154" s="8" t="s">
        <v>15</v>
      </c>
    </row>
    <row r="155" customFormat="false" ht="15.75" hidden="false" customHeight="true" outlineLevel="0" collapsed="false">
      <c r="A155" s="9" t="n">
        <v>152</v>
      </c>
      <c r="B155" s="10" t="s">
        <v>24</v>
      </c>
      <c r="C155" s="9" t="n">
        <v>6.8</v>
      </c>
      <c r="D155" s="9" t="n">
        <v>21</v>
      </c>
      <c r="E155" s="9" t="n">
        <v>0.67</v>
      </c>
      <c r="F155" s="9" t="n">
        <v>20</v>
      </c>
      <c r="G155" s="9" t="s">
        <v>14</v>
      </c>
      <c r="H155" s="9" t="n">
        <v>6</v>
      </c>
      <c r="I155" s="9" t="n">
        <v>7</v>
      </c>
      <c r="J155" s="11" t="n">
        <v>8800</v>
      </c>
      <c r="K155" s="13" t="s">
        <v>20</v>
      </c>
    </row>
    <row r="156" customFormat="false" ht="15.75" hidden="false" customHeight="true" outlineLevel="0" collapsed="false">
      <c r="A156" s="5" t="n">
        <v>153</v>
      </c>
      <c r="B156" s="6" t="s">
        <v>23</v>
      </c>
      <c r="C156" s="5" t="n">
        <v>5.5</v>
      </c>
      <c r="D156" s="5" t="n">
        <v>17</v>
      </c>
      <c r="E156" s="5" t="n">
        <v>0.57</v>
      </c>
      <c r="F156" s="5" t="n">
        <v>25</v>
      </c>
      <c r="G156" s="5" t="s">
        <v>17</v>
      </c>
      <c r="H156" s="5" t="n">
        <v>9</v>
      </c>
      <c r="I156" s="5" t="n">
        <v>15</v>
      </c>
      <c r="J156" s="7" t="n">
        <v>6500</v>
      </c>
      <c r="K156" s="12" t="s">
        <v>18</v>
      </c>
    </row>
    <row r="157" customFormat="false" ht="15.75" hidden="false" customHeight="true" outlineLevel="0" collapsed="false">
      <c r="A157" s="9" t="n">
        <v>154</v>
      </c>
      <c r="B157" s="10" t="s">
        <v>16</v>
      </c>
      <c r="C157" s="9" t="n">
        <v>5.7</v>
      </c>
      <c r="D157" s="9" t="n">
        <v>13</v>
      </c>
      <c r="E157" s="9" t="n">
        <v>0.56</v>
      </c>
      <c r="F157" s="9" t="n">
        <v>25</v>
      </c>
      <c r="G157" s="9" t="s">
        <v>17</v>
      </c>
      <c r="H157" s="9" t="n">
        <v>7</v>
      </c>
      <c r="I157" s="9" t="n">
        <v>13</v>
      </c>
      <c r="J157" s="11" t="n">
        <v>6400</v>
      </c>
      <c r="K157" s="12" t="s">
        <v>18</v>
      </c>
    </row>
    <row r="158" customFormat="false" ht="15.75" hidden="false" customHeight="true" outlineLevel="0" collapsed="false">
      <c r="A158" s="5" t="n">
        <v>155</v>
      </c>
      <c r="B158" s="6" t="s">
        <v>13</v>
      </c>
      <c r="C158" s="5" t="n">
        <v>8.5</v>
      </c>
      <c r="D158" s="5" t="n">
        <v>21</v>
      </c>
      <c r="E158" s="5" t="n">
        <v>0.78</v>
      </c>
      <c r="F158" s="5" t="n">
        <v>14</v>
      </c>
      <c r="G158" s="5" t="s">
        <v>14</v>
      </c>
      <c r="H158" s="5" t="n">
        <v>2</v>
      </c>
      <c r="I158" s="5" t="n">
        <v>0</v>
      </c>
      <c r="J158" s="7" t="n">
        <v>11200</v>
      </c>
      <c r="K158" s="8" t="s">
        <v>15</v>
      </c>
    </row>
    <row r="159" customFormat="false" ht="15.75" hidden="false" customHeight="true" outlineLevel="0" collapsed="false">
      <c r="A159" s="9" t="n">
        <v>156</v>
      </c>
      <c r="B159" s="10" t="s">
        <v>21</v>
      </c>
      <c r="C159" s="9" t="n">
        <v>5.2</v>
      </c>
      <c r="D159" s="9" t="n">
        <v>15</v>
      </c>
      <c r="E159" s="9" t="n">
        <v>0.54</v>
      </c>
      <c r="F159" s="9" t="n">
        <v>26</v>
      </c>
      <c r="G159" s="9" t="s">
        <v>17</v>
      </c>
      <c r="H159" s="9" t="n">
        <v>9</v>
      </c>
      <c r="I159" s="9" t="n">
        <v>15</v>
      </c>
      <c r="J159" s="11" t="n">
        <v>5900</v>
      </c>
      <c r="K159" s="12" t="s">
        <v>18</v>
      </c>
    </row>
    <row r="160" customFormat="false" ht="15.75" hidden="false" customHeight="true" outlineLevel="0" collapsed="false">
      <c r="A160" s="5" t="n">
        <v>157</v>
      </c>
      <c r="B160" s="6" t="s">
        <v>24</v>
      </c>
      <c r="C160" s="5" t="n">
        <v>7.2</v>
      </c>
      <c r="D160" s="5" t="n">
        <v>16</v>
      </c>
      <c r="E160" s="5" t="n">
        <v>0.67</v>
      </c>
      <c r="F160" s="5" t="n">
        <v>19</v>
      </c>
      <c r="G160" s="5" t="s">
        <v>14</v>
      </c>
      <c r="H160" s="5" t="n">
        <v>5</v>
      </c>
      <c r="I160" s="5" t="n">
        <v>2</v>
      </c>
      <c r="J160" s="7" t="n">
        <v>8600</v>
      </c>
      <c r="K160" s="13" t="s">
        <v>20</v>
      </c>
    </row>
    <row r="161" customFormat="false" ht="15.75" hidden="false" customHeight="true" outlineLevel="0" collapsed="false">
      <c r="A161" s="9" t="n">
        <v>158</v>
      </c>
      <c r="B161" s="10" t="s">
        <v>21</v>
      </c>
      <c r="C161" s="9" t="n">
        <v>8.4</v>
      </c>
      <c r="D161" s="9" t="n">
        <v>24</v>
      </c>
      <c r="E161" s="9" t="n">
        <v>0.77</v>
      </c>
      <c r="F161" s="9" t="n">
        <v>14</v>
      </c>
      <c r="G161" s="9" t="s">
        <v>14</v>
      </c>
      <c r="H161" s="9" t="n">
        <v>3</v>
      </c>
      <c r="I161" s="9" t="n">
        <v>1</v>
      </c>
      <c r="J161" s="11" t="n">
        <v>10800</v>
      </c>
      <c r="K161" s="8" t="s">
        <v>15</v>
      </c>
    </row>
    <row r="162" customFormat="false" ht="15.75" hidden="false" customHeight="true" outlineLevel="0" collapsed="false">
      <c r="A162" s="5" t="n">
        <v>159</v>
      </c>
      <c r="B162" s="6" t="s">
        <v>13</v>
      </c>
      <c r="C162" s="5" t="n">
        <v>6.8</v>
      </c>
      <c r="D162" s="5" t="n">
        <v>23</v>
      </c>
      <c r="E162" s="5" t="n">
        <v>0.67</v>
      </c>
      <c r="F162" s="5" t="n">
        <v>19</v>
      </c>
      <c r="G162" s="5" t="s">
        <v>14</v>
      </c>
      <c r="H162" s="5" t="n">
        <v>6</v>
      </c>
      <c r="I162" s="5" t="n">
        <v>7</v>
      </c>
      <c r="J162" s="7" t="n">
        <v>8900</v>
      </c>
      <c r="K162" s="8" t="s">
        <v>15</v>
      </c>
    </row>
    <row r="163" customFormat="false" ht="15.75" hidden="false" customHeight="true" outlineLevel="0" collapsed="false">
      <c r="A163" s="9" t="n">
        <v>160</v>
      </c>
      <c r="B163" s="10" t="s">
        <v>22</v>
      </c>
      <c r="C163" s="9" t="n">
        <v>6.7</v>
      </c>
      <c r="D163" s="9" t="n">
        <v>17</v>
      </c>
      <c r="E163" s="9" t="n">
        <v>0.62</v>
      </c>
      <c r="F163" s="9" t="n">
        <v>21</v>
      </c>
      <c r="G163" s="9" t="s">
        <v>14</v>
      </c>
      <c r="H163" s="9" t="n">
        <v>5</v>
      </c>
      <c r="I163" s="9" t="n">
        <v>4</v>
      </c>
      <c r="J163" s="11" t="n">
        <v>8000</v>
      </c>
      <c r="K163" s="13" t="s">
        <v>20</v>
      </c>
    </row>
    <row r="164" customFormat="false" ht="15.75" hidden="false" customHeight="true" outlineLevel="0" collapsed="false">
      <c r="A164" s="5" t="n">
        <v>161</v>
      </c>
      <c r="B164" s="6" t="s">
        <v>21</v>
      </c>
      <c r="C164" s="5" t="n">
        <v>7.3</v>
      </c>
      <c r="D164" s="5" t="n">
        <v>19</v>
      </c>
      <c r="E164" s="5" t="n">
        <v>0.69</v>
      </c>
      <c r="F164" s="5" t="n">
        <v>20</v>
      </c>
      <c r="G164" s="5" t="s">
        <v>17</v>
      </c>
      <c r="H164" s="5" t="n">
        <v>6</v>
      </c>
      <c r="I164" s="5" t="n">
        <v>7</v>
      </c>
      <c r="J164" s="7" t="n">
        <v>8500</v>
      </c>
      <c r="K164" s="13" t="s">
        <v>20</v>
      </c>
    </row>
    <row r="165" customFormat="false" ht="15.75" hidden="false" customHeight="true" outlineLevel="0" collapsed="false">
      <c r="A165" s="9" t="n">
        <v>162</v>
      </c>
      <c r="B165" s="10" t="s">
        <v>13</v>
      </c>
      <c r="C165" s="9" t="n">
        <v>7.7</v>
      </c>
      <c r="D165" s="9" t="n">
        <v>24</v>
      </c>
      <c r="E165" s="9" t="n">
        <v>0.73</v>
      </c>
      <c r="F165" s="9" t="n">
        <v>17</v>
      </c>
      <c r="G165" s="9" t="s">
        <v>14</v>
      </c>
      <c r="H165" s="9" t="n">
        <v>4</v>
      </c>
      <c r="I165" s="9" t="n">
        <v>3</v>
      </c>
      <c r="J165" s="11" t="n">
        <v>9900</v>
      </c>
      <c r="K165" s="8" t="s">
        <v>15</v>
      </c>
    </row>
    <row r="166" customFormat="false" ht="15.75" hidden="false" customHeight="true" outlineLevel="0" collapsed="false">
      <c r="A166" s="5" t="n">
        <v>163</v>
      </c>
      <c r="B166" s="6" t="s">
        <v>21</v>
      </c>
      <c r="C166" s="5" t="n">
        <v>6.7</v>
      </c>
      <c r="D166" s="5" t="n">
        <v>18</v>
      </c>
      <c r="E166" s="5" t="n">
        <v>0.66</v>
      </c>
      <c r="F166" s="5" t="n">
        <v>20</v>
      </c>
      <c r="G166" s="5" t="s">
        <v>14</v>
      </c>
      <c r="H166" s="5" t="n">
        <v>5</v>
      </c>
      <c r="I166" s="5" t="n">
        <v>6</v>
      </c>
      <c r="J166" s="7" t="n">
        <v>8400</v>
      </c>
      <c r="K166" s="13" t="s">
        <v>20</v>
      </c>
    </row>
    <row r="167" customFormat="false" ht="15.75" hidden="false" customHeight="true" outlineLevel="0" collapsed="false">
      <c r="A167" s="9" t="n">
        <v>164</v>
      </c>
      <c r="B167" s="10" t="s">
        <v>19</v>
      </c>
      <c r="C167" s="9" t="n">
        <v>5.6</v>
      </c>
      <c r="D167" s="9" t="n">
        <v>13</v>
      </c>
      <c r="E167" s="9" t="n">
        <v>0.55</v>
      </c>
      <c r="F167" s="9" t="n">
        <v>25</v>
      </c>
      <c r="G167" s="9" t="s">
        <v>17</v>
      </c>
      <c r="H167" s="9" t="n">
        <v>8</v>
      </c>
      <c r="I167" s="9" t="n">
        <v>15</v>
      </c>
      <c r="J167" s="11" t="n">
        <v>6300</v>
      </c>
      <c r="K167" s="12" t="s">
        <v>18</v>
      </c>
    </row>
    <row r="168" customFormat="false" ht="15.75" hidden="false" customHeight="true" outlineLevel="0" collapsed="false">
      <c r="A168" s="5" t="n">
        <v>165</v>
      </c>
      <c r="B168" s="6" t="s">
        <v>13</v>
      </c>
      <c r="C168" s="5" t="n">
        <v>8.2</v>
      </c>
      <c r="D168" s="5" t="n">
        <v>24</v>
      </c>
      <c r="E168" s="5" t="n">
        <v>0.77</v>
      </c>
      <c r="F168" s="5" t="n">
        <v>16</v>
      </c>
      <c r="G168" s="5" t="s">
        <v>14</v>
      </c>
      <c r="H168" s="5" t="n">
        <v>3</v>
      </c>
      <c r="I168" s="5" t="n">
        <v>0</v>
      </c>
      <c r="J168" s="7" t="n">
        <v>10500</v>
      </c>
      <c r="K168" s="8" t="s">
        <v>15</v>
      </c>
    </row>
    <row r="169" customFormat="false" ht="15.75" hidden="false" customHeight="true" outlineLevel="0" collapsed="false">
      <c r="A169" s="9" t="n">
        <v>166</v>
      </c>
      <c r="B169" s="10" t="s">
        <v>22</v>
      </c>
      <c r="C169" s="9" t="n">
        <v>6.5</v>
      </c>
      <c r="D169" s="9" t="n">
        <v>16</v>
      </c>
      <c r="E169" s="9" t="n">
        <v>0.63</v>
      </c>
      <c r="F169" s="9" t="n">
        <v>22</v>
      </c>
      <c r="G169" s="9" t="s">
        <v>17</v>
      </c>
      <c r="H169" s="9" t="n">
        <v>7</v>
      </c>
      <c r="I169" s="9" t="n">
        <v>9</v>
      </c>
      <c r="J169" s="11" t="n">
        <v>7500</v>
      </c>
      <c r="K169" s="13" t="s">
        <v>20</v>
      </c>
    </row>
    <row r="170" customFormat="false" ht="15.75" hidden="false" customHeight="true" outlineLevel="0" collapsed="false">
      <c r="A170" s="5" t="n">
        <v>167</v>
      </c>
      <c r="B170" s="6" t="s">
        <v>13</v>
      </c>
      <c r="C170" s="5" t="n">
        <v>8.3</v>
      </c>
      <c r="D170" s="5" t="n">
        <v>21</v>
      </c>
      <c r="E170" s="5" t="n">
        <v>0.76</v>
      </c>
      <c r="F170" s="5" t="n">
        <v>15</v>
      </c>
      <c r="G170" s="5" t="s">
        <v>14</v>
      </c>
      <c r="H170" s="5" t="n">
        <v>4</v>
      </c>
      <c r="I170" s="5" t="n">
        <v>0</v>
      </c>
      <c r="J170" s="7" t="n">
        <v>10400</v>
      </c>
      <c r="K170" s="8" t="s">
        <v>15</v>
      </c>
    </row>
    <row r="171" customFormat="false" ht="15.75" hidden="false" customHeight="true" outlineLevel="0" collapsed="false">
      <c r="A171" s="9" t="n">
        <v>168</v>
      </c>
      <c r="B171" s="10" t="s">
        <v>19</v>
      </c>
      <c r="C171" s="9" t="n">
        <v>7.5</v>
      </c>
      <c r="D171" s="9" t="n">
        <v>22</v>
      </c>
      <c r="E171" s="9" t="n">
        <v>0.72</v>
      </c>
      <c r="F171" s="9" t="n">
        <v>18</v>
      </c>
      <c r="G171" s="9" t="s">
        <v>14</v>
      </c>
      <c r="H171" s="9" t="n">
        <v>4</v>
      </c>
      <c r="I171" s="9" t="n">
        <v>1</v>
      </c>
      <c r="J171" s="11" t="n">
        <v>9600</v>
      </c>
      <c r="K171" s="8" t="s">
        <v>15</v>
      </c>
    </row>
    <row r="172" customFormat="false" ht="15.75" hidden="false" customHeight="true" outlineLevel="0" collapsed="false">
      <c r="A172" s="5" t="n">
        <v>169</v>
      </c>
      <c r="B172" s="6" t="s">
        <v>23</v>
      </c>
      <c r="C172" s="5" t="n">
        <v>4.9</v>
      </c>
      <c r="D172" s="5" t="n">
        <v>12</v>
      </c>
      <c r="E172" s="5" t="n">
        <v>0.51</v>
      </c>
      <c r="F172" s="5" t="n">
        <v>26</v>
      </c>
      <c r="G172" s="5" t="s">
        <v>17</v>
      </c>
      <c r="H172" s="5" t="n">
        <v>10</v>
      </c>
      <c r="I172" s="5" t="n">
        <v>14</v>
      </c>
      <c r="J172" s="7" t="n">
        <v>5000</v>
      </c>
      <c r="K172" s="12" t="s">
        <v>18</v>
      </c>
    </row>
    <row r="173" customFormat="false" ht="15.75" hidden="false" customHeight="true" outlineLevel="0" collapsed="false">
      <c r="A173" s="9" t="n">
        <v>170</v>
      </c>
      <c r="B173" s="10" t="s">
        <v>13</v>
      </c>
      <c r="C173" s="9" t="n">
        <v>7.6</v>
      </c>
      <c r="D173" s="9" t="n">
        <v>26</v>
      </c>
      <c r="E173" s="9" t="n">
        <v>0.73</v>
      </c>
      <c r="F173" s="9" t="n">
        <v>17</v>
      </c>
      <c r="G173" s="9" t="s">
        <v>14</v>
      </c>
      <c r="H173" s="9" t="n">
        <v>5</v>
      </c>
      <c r="I173" s="9" t="n">
        <v>2</v>
      </c>
      <c r="J173" s="11" t="n">
        <v>9800</v>
      </c>
      <c r="K173" s="8" t="s">
        <v>15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K3" activeCellId="0" sqref="K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38"/>
  </cols>
  <sheetData>
    <row r="1" customFormat="false" ht="21.75" hidden="false" customHeight="true" outlineLevel="0" collapsed="false">
      <c r="A1" s="14" t="s">
        <v>25</v>
      </c>
      <c r="B1" s="14"/>
      <c r="C1" s="14"/>
      <c r="D1" s="14"/>
      <c r="E1" s="14"/>
    </row>
    <row r="2" customFormat="false" ht="18" hidden="false" customHeight="true" outlineLevel="0" collapsed="false">
      <c r="A2" s="15" t="s">
        <v>26</v>
      </c>
      <c r="B2" s="15"/>
      <c r="C2" s="15"/>
      <c r="D2" s="15"/>
      <c r="E2" s="15"/>
    </row>
    <row r="3" customFormat="false" ht="19.5" hidden="false" customHeight="true" outlineLevel="0" collapsed="false">
      <c r="A3" s="16" t="s">
        <v>2</v>
      </c>
      <c r="B3" s="16" t="s">
        <v>27</v>
      </c>
      <c r="C3" s="16" t="s">
        <v>28</v>
      </c>
      <c r="D3" s="16" t="s">
        <v>29</v>
      </c>
      <c r="E3" s="16" t="s">
        <v>30</v>
      </c>
    </row>
    <row r="4" customFormat="false" ht="51.75" hidden="false" customHeight="true" outlineLevel="0" collapsed="false">
      <c r="A4" s="17" t="n">
        <v>1</v>
      </c>
      <c r="B4" s="18" t="s">
        <v>31</v>
      </c>
      <c r="C4" s="18" t="s">
        <v>32</v>
      </c>
      <c r="D4" s="18" t="s">
        <v>33</v>
      </c>
      <c r="E4" s="18" t="s">
        <v>34</v>
      </c>
    </row>
    <row r="5" customFormat="false" ht="51.75" hidden="false" customHeight="true" outlineLevel="0" collapsed="false">
      <c r="A5" s="19" t="n">
        <v>2</v>
      </c>
      <c r="B5" s="20" t="s">
        <v>35</v>
      </c>
      <c r="C5" s="20" t="s">
        <v>36</v>
      </c>
      <c r="D5" s="20" t="s">
        <v>33</v>
      </c>
      <c r="E5" s="20" t="s">
        <v>37</v>
      </c>
    </row>
    <row r="6" customFormat="false" ht="51.75" hidden="false" customHeight="true" outlineLevel="0" collapsed="false">
      <c r="A6" s="17" t="n">
        <v>3</v>
      </c>
      <c r="B6" s="18" t="s">
        <v>38</v>
      </c>
      <c r="C6" s="18" t="s">
        <v>39</v>
      </c>
      <c r="D6" s="18" t="s">
        <v>33</v>
      </c>
      <c r="E6" s="18" t="s">
        <v>40</v>
      </c>
    </row>
    <row r="7" customFormat="false" ht="51.75" hidden="false" customHeight="true" outlineLevel="0" collapsed="false">
      <c r="A7" s="19" t="n">
        <v>4</v>
      </c>
      <c r="B7" s="20" t="s">
        <v>41</v>
      </c>
      <c r="C7" s="20" t="s">
        <v>42</v>
      </c>
      <c r="D7" s="20" t="s">
        <v>43</v>
      </c>
      <c r="E7" s="20" t="s">
        <v>44</v>
      </c>
    </row>
    <row r="8" customFormat="false" ht="51.75" hidden="false" customHeight="true" outlineLevel="0" collapsed="false">
      <c r="A8" s="17" t="n">
        <v>5</v>
      </c>
      <c r="B8" s="18" t="s">
        <v>45</v>
      </c>
      <c r="C8" s="18" t="s">
        <v>46</v>
      </c>
      <c r="D8" s="18" t="s">
        <v>47</v>
      </c>
      <c r="E8" s="18" t="s">
        <v>48</v>
      </c>
    </row>
    <row r="9" customFormat="false" ht="51.75" hidden="false" customHeight="true" outlineLevel="0" collapsed="false">
      <c r="A9" s="19" t="n">
        <v>6</v>
      </c>
      <c r="B9" s="20" t="s">
        <v>49</v>
      </c>
      <c r="C9" s="20" t="s">
        <v>50</v>
      </c>
      <c r="D9" s="20" t="s">
        <v>51</v>
      </c>
      <c r="E9" s="20" t="s">
        <v>52</v>
      </c>
    </row>
    <row r="10" customFormat="false" ht="51.75" hidden="false" customHeight="true" outlineLevel="0" collapsed="false">
      <c r="A10" s="17" t="n">
        <v>7</v>
      </c>
      <c r="B10" s="18" t="s">
        <v>53</v>
      </c>
      <c r="C10" s="18" t="s">
        <v>54</v>
      </c>
      <c r="D10" s="18" t="s">
        <v>55</v>
      </c>
      <c r="E10" s="18" t="s">
        <v>56</v>
      </c>
    </row>
    <row r="11" customFormat="false" ht="51.75" hidden="false" customHeight="true" outlineLevel="0" collapsed="false">
      <c r="A11" s="19" t="n">
        <v>8</v>
      </c>
      <c r="B11" s="20" t="s">
        <v>57</v>
      </c>
      <c r="C11" s="20" t="s">
        <v>58</v>
      </c>
      <c r="D11" s="20" t="s">
        <v>59</v>
      </c>
      <c r="E11" s="20" t="s">
        <v>60</v>
      </c>
    </row>
    <row r="12" customFormat="false" ht="51.75" hidden="false" customHeight="true" outlineLevel="0" collapsed="false">
      <c r="A12" s="17" t="n">
        <v>9</v>
      </c>
      <c r="B12" s="18" t="s">
        <v>61</v>
      </c>
      <c r="C12" s="18" t="s">
        <v>62</v>
      </c>
      <c r="D12" s="18" t="s">
        <v>59</v>
      </c>
      <c r="E12" s="18" t="s">
        <v>63</v>
      </c>
    </row>
    <row r="13" customFormat="false" ht="51.75" hidden="false" customHeight="true" outlineLevel="0" collapsed="false">
      <c r="A13" s="19" t="n">
        <v>10</v>
      </c>
      <c r="B13" s="20" t="s">
        <v>64</v>
      </c>
      <c r="C13" s="20" t="s">
        <v>65</v>
      </c>
      <c r="D13" s="20" t="s">
        <v>66</v>
      </c>
      <c r="E13" s="20" t="s">
        <v>67</v>
      </c>
    </row>
    <row r="14" customFormat="false" ht="51.75" hidden="false" customHeight="true" outlineLevel="0" collapsed="false">
      <c r="A14" s="17" t="n">
        <v>11</v>
      </c>
      <c r="B14" s="18" t="s">
        <v>68</v>
      </c>
      <c r="C14" s="18" t="s">
        <v>69</v>
      </c>
      <c r="D14" s="18" t="s">
        <v>70</v>
      </c>
      <c r="E14" s="18" t="s">
        <v>71</v>
      </c>
    </row>
    <row r="15" customFormat="false" ht="51.75" hidden="false" customHeight="true" outlineLevel="0" collapsed="false">
      <c r="A15" s="19" t="n">
        <v>12</v>
      </c>
      <c r="B15" s="20" t="s">
        <v>72</v>
      </c>
      <c r="C15" s="20" t="s">
        <v>73</v>
      </c>
      <c r="D15" s="20" t="s">
        <v>74</v>
      </c>
      <c r="E15" s="20" t="s">
        <v>75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I16" activeCellId="0" sqref="I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4" t="s">
        <v>76</v>
      </c>
      <c r="B1" s="14"/>
      <c r="C1" s="14"/>
      <c r="D1" s="14"/>
      <c r="E1" s="14"/>
      <c r="F1" s="14"/>
      <c r="G1" s="14"/>
      <c r="H1" s="14"/>
    </row>
    <row r="2" customFormat="false" ht="15" hidden="false" customHeight="true" outlineLevel="0" collapsed="false">
      <c r="A2" s="21" t="str">
        <f aca="false">"Ringkasan statistik "&amp;COUNTA('Dataset Rotan Sigi'!A4:A173)&amp;" sampel data rotan Kabupaten Sigi"</f>
        <v>Ringkasan statistik 170 sampel data rotan Kabupaten Sigi</v>
      </c>
      <c r="B2" s="21"/>
      <c r="C2" s="21"/>
      <c r="D2" s="21"/>
      <c r="E2" s="21"/>
      <c r="F2" s="21"/>
      <c r="G2" s="21"/>
      <c r="H2" s="21"/>
    </row>
    <row r="3" customFormat="false" ht="15" hidden="false" customHeight="true" outlineLevel="0" collapsed="false">
      <c r="A3" s="22" t="s">
        <v>77</v>
      </c>
      <c r="B3" s="22" t="s">
        <v>78</v>
      </c>
      <c r="C3" s="22" t="s">
        <v>79</v>
      </c>
      <c r="D3" s="22" t="s">
        <v>80</v>
      </c>
      <c r="E3" s="22" t="s">
        <v>81</v>
      </c>
      <c r="F3" s="22" t="s">
        <v>82</v>
      </c>
      <c r="G3" s="22" t="s">
        <v>83</v>
      </c>
      <c r="H3" s="22" t="s">
        <v>30</v>
      </c>
      <c r="I3" s="22"/>
    </row>
    <row r="4" customFormat="false" ht="19.5" hidden="false" customHeight="true" outlineLevel="0" collapsed="false">
      <c r="A4" s="23" t="s">
        <v>84</v>
      </c>
      <c r="B4" s="24" t="n">
        <f aca="false">MIN('Dataset Rotan Sigi'!C4:C173)</f>
        <v>4.5</v>
      </c>
      <c r="C4" s="24" t="n">
        <f aca="false">MAX('Dataset Rotan Sigi'!C4:C173)</f>
        <v>8.6</v>
      </c>
      <c r="D4" s="24" t="n">
        <f aca="false">ROUND(AVERAGE('Dataset Rotan Sigi'!C4:C173),2)</f>
        <v>6.64</v>
      </c>
      <c r="E4" s="24" t="n">
        <f aca="false">MEDIAN('Dataset Rotan Sigi'!C4:C173)</f>
        <v>6.7</v>
      </c>
      <c r="F4" s="24" t="n">
        <f aca="false">ROUND(STDEV('Dataset Rotan Sigi'!C4:C173),2)</f>
        <v>1.12</v>
      </c>
      <c r="G4" s="23" t="s">
        <v>85</v>
      </c>
      <c r="H4" s="23" t="s">
        <v>86</v>
      </c>
      <c r="I4" s="23"/>
    </row>
    <row r="5" customFormat="false" ht="19.5" hidden="false" customHeight="true" outlineLevel="0" collapsed="false">
      <c r="A5" s="25" t="s">
        <v>87</v>
      </c>
      <c r="B5" s="26" t="n">
        <f aca="false">MIN('Dataset Rotan Sigi'!D4:D173)</f>
        <v>11</v>
      </c>
      <c r="C5" s="26" t="n">
        <f aca="false">MAX('Dataset Rotan Sigi'!D4:D173)</f>
        <v>26</v>
      </c>
      <c r="D5" s="26" t="n">
        <f aca="false">ROUND(AVERAGE('Dataset Rotan Sigi'!D4:D173),2)</f>
        <v>18.86</v>
      </c>
      <c r="E5" s="26" t="n">
        <f aca="false">MEDIAN('Dataset Rotan Sigi'!D4:D173)</f>
        <v>19</v>
      </c>
      <c r="F5" s="26" t="n">
        <f aca="false">ROUND(STDEV('Dataset Rotan Sigi'!D4:D173),2)</f>
        <v>3.69</v>
      </c>
      <c r="G5" s="25" t="s">
        <v>88</v>
      </c>
      <c r="H5" s="27" t="s">
        <v>89</v>
      </c>
      <c r="I5" s="27"/>
    </row>
    <row r="6" customFormat="false" ht="19.5" hidden="false" customHeight="true" outlineLevel="0" collapsed="false">
      <c r="A6" s="23" t="s">
        <v>90</v>
      </c>
      <c r="B6" s="24" t="n">
        <f aca="false">MIN('Dataset Rotan Sigi'!E4:E173)</f>
        <v>0.48</v>
      </c>
      <c r="C6" s="24" t="n">
        <f aca="false">MAX('Dataset Rotan Sigi'!E4:E173)</f>
        <v>0.79</v>
      </c>
      <c r="D6" s="24" t="n">
        <f aca="false">ROUND(AVERAGE('Dataset Rotan Sigi'!E4:E173),2)</f>
        <v>0.65</v>
      </c>
      <c r="E6" s="24" t="n">
        <f aca="false">MEDIAN('Dataset Rotan Sigi'!E4:E173)</f>
        <v>0.66</v>
      </c>
      <c r="F6" s="24" t="n">
        <f aca="false">ROUND(STDEV('Dataset Rotan Sigi'!E4:E173),2)</f>
        <v>0.09</v>
      </c>
      <c r="G6" s="23" t="s">
        <v>91</v>
      </c>
      <c r="H6" s="23" t="s">
        <v>92</v>
      </c>
      <c r="I6" s="23"/>
    </row>
    <row r="7" customFormat="false" ht="19.5" hidden="false" customHeight="true" outlineLevel="0" collapsed="false">
      <c r="A7" s="25" t="s">
        <v>93</v>
      </c>
      <c r="B7" s="26" t="n">
        <f aca="false">MIN('Dataset Rotan Sigi'!F4:F173)</f>
        <v>14</v>
      </c>
      <c r="C7" s="26" t="n">
        <f aca="false">MAX('Dataset Rotan Sigi'!F4:F173)</f>
        <v>30</v>
      </c>
      <c r="D7" s="26" t="n">
        <f aca="false">ROUND(AVERAGE('Dataset Rotan Sigi'!F4:F173),2)</f>
        <v>20.81</v>
      </c>
      <c r="E7" s="26" t="n">
        <f aca="false">MEDIAN('Dataset Rotan Sigi'!F4:F173)</f>
        <v>20</v>
      </c>
      <c r="F7" s="26" t="n">
        <f aca="false">ROUND(STDEV('Dataset Rotan Sigi'!F4:F173),2)</f>
        <v>4.12</v>
      </c>
      <c r="G7" s="25" t="s">
        <v>94</v>
      </c>
      <c r="H7" s="25" t="s">
        <v>95</v>
      </c>
      <c r="I7" s="25"/>
    </row>
    <row r="8" customFormat="false" ht="19.5" hidden="false" customHeight="true" outlineLevel="0" collapsed="false">
      <c r="A8" s="23" t="s">
        <v>96</v>
      </c>
      <c r="B8" s="24" t="n">
        <f aca="false">MIN('Dataset Rotan Sigi'!H4:H173)</f>
        <v>2</v>
      </c>
      <c r="C8" s="24" t="n">
        <f aca="false">MAX('Dataset Rotan Sigi'!H4:H173)</f>
        <v>11</v>
      </c>
      <c r="D8" s="24" t="n">
        <f aca="false">ROUND(AVERAGE('Dataset Rotan Sigi'!H4:H173),2)</f>
        <v>6.25</v>
      </c>
      <c r="E8" s="24" t="n">
        <f aca="false">MEDIAN('Dataset Rotan Sigi'!H4:H173)</f>
        <v>6</v>
      </c>
      <c r="F8" s="24" t="n">
        <f aca="false">ROUND(STDEV('Dataset Rotan Sigi'!H4:H173),2)</f>
        <v>2.23</v>
      </c>
      <c r="G8" s="23" t="s">
        <v>97</v>
      </c>
      <c r="H8" s="23" t="s">
        <v>98</v>
      </c>
      <c r="I8" s="23"/>
    </row>
    <row r="9" customFormat="false" ht="19.5" hidden="false" customHeight="true" outlineLevel="0" collapsed="false">
      <c r="A9" s="25" t="s">
        <v>99</v>
      </c>
      <c r="B9" s="26" t="n">
        <f aca="false">MIN('Dataset Rotan Sigi'!I4:I173)</f>
        <v>0</v>
      </c>
      <c r="C9" s="26" t="n">
        <f aca="false">MAX('Dataset Rotan Sigi'!I4:I173)</f>
        <v>20</v>
      </c>
      <c r="D9" s="26" t="n">
        <f aca="false">ROUND(AVERAGE('Dataset Rotan Sigi'!I4:I173),2)</f>
        <v>7.3</v>
      </c>
      <c r="E9" s="26" t="n">
        <f aca="false">MEDIAN('Dataset Rotan Sigi'!I4:I173)</f>
        <v>6</v>
      </c>
      <c r="F9" s="26" t="n">
        <f aca="false">ROUND(STDEV('Dataset Rotan Sigi'!I4:I173),2)</f>
        <v>5.48</v>
      </c>
      <c r="G9" s="25" t="s">
        <v>94</v>
      </c>
      <c r="H9" s="25" t="s">
        <v>100</v>
      </c>
      <c r="I9" s="25"/>
    </row>
    <row r="10" customFormat="false" ht="19.5" hidden="false" customHeight="true" outlineLevel="0" collapsed="false">
      <c r="A10" s="23" t="s">
        <v>101</v>
      </c>
      <c r="B10" s="28" t="n">
        <f aca="false">MIN('Dataset Rotan Sigi'!J4:J173)</f>
        <v>4600</v>
      </c>
      <c r="C10" s="28" t="n">
        <f aca="false">MAX('Dataset Rotan Sigi'!J4:J173)</f>
        <v>11500</v>
      </c>
      <c r="D10" s="28" t="n">
        <f aca="false">ROUND(AVERAGE('Dataset Rotan Sigi'!J4:J173),0)</f>
        <v>8155</v>
      </c>
      <c r="E10" s="28" t="n">
        <f aca="false">MEDIAN('Dataset Rotan Sigi'!J4:J173)</f>
        <v>8400</v>
      </c>
      <c r="F10" s="28" t="n">
        <f aca="false">ROUND(STDEV('Dataset Rotan Sigi'!J4:J173),0)</f>
        <v>1858</v>
      </c>
      <c r="G10" s="23" t="s">
        <v>102</v>
      </c>
      <c r="H10" s="23" t="s">
        <v>103</v>
      </c>
      <c r="I10" s="23"/>
    </row>
    <row r="12" customFormat="false" ht="9.75" hidden="false" customHeight="true" outlineLevel="0" collapsed="false"/>
    <row r="13" customFormat="false" ht="15" hidden="false" customHeight="true" outlineLevel="0" collapsed="false">
      <c r="A13" s="29" t="s">
        <v>104</v>
      </c>
      <c r="B13" s="29"/>
      <c r="C13" s="29"/>
      <c r="D13" s="29"/>
      <c r="E13" s="29"/>
      <c r="F13" s="29"/>
      <c r="G13" s="29"/>
      <c r="H13" s="29"/>
    </row>
    <row r="14" customFormat="false" ht="15" hidden="false" customHeight="true" outlineLevel="0" collapsed="false">
      <c r="A14" s="16" t="s">
        <v>105</v>
      </c>
      <c r="B14" s="16" t="s">
        <v>106</v>
      </c>
      <c r="C14" s="16" t="s">
        <v>107</v>
      </c>
      <c r="D14" s="30" t="s">
        <v>30</v>
      </c>
      <c r="E14" s="31"/>
      <c r="F14" s="31"/>
      <c r="G14" s="31"/>
      <c r="H14" s="32"/>
    </row>
    <row r="15" customFormat="false" ht="18" hidden="false" customHeight="true" outlineLevel="0" collapsed="false">
      <c r="A15" s="33" t="s">
        <v>108</v>
      </c>
      <c r="B15" s="33" t="n">
        <f aca="false">COUNTIF('Dataset Rotan Sigi'!K4:K173,"A")</f>
        <v>60</v>
      </c>
      <c r="C15" s="33" t="str">
        <f aca="false">ROUND(B15/B18*100,1)&amp;"%"</f>
        <v>35.3%</v>
      </c>
      <c r="D15" s="34" t="str">
        <f aca="false">"Rotan kualitas tinggi — harga "&amp;TEXT(_xlfn.MINIFS('Dataset Rotan Sigi'!J4:J173,'Dataset Rotan Sigi'!K4:K173,"A"),"""Rp"" #,##0")&amp;" – "&amp;TEXT(_xlfn.MAXIFS('Dataset Rotan Sigi'!J4:J173,'Dataset Rotan Sigi'!K4:K173,"A"),"""Rp"" #,##0")&amp;"/kg"</f>
        <v>Rotan kualitas tinggi — harga Rp 8,900 – Rp 11,500/kg</v>
      </c>
      <c r="E15" s="34"/>
      <c r="F15" s="34"/>
      <c r="G15" s="34"/>
      <c r="H15" s="34"/>
      <c r="I15" s="34"/>
    </row>
    <row r="16" customFormat="false" ht="18" hidden="false" customHeight="true" outlineLevel="0" collapsed="false">
      <c r="A16" s="35" t="s">
        <v>109</v>
      </c>
      <c r="B16" s="35" t="n">
        <f aca="false">COUNTIF('Dataset Rotan Sigi'!K4:K173,"B")</f>
        <v>61</v>
      </c>
      <c r="C16" s="35" t="str">
        <f aca="false">ROUND(B16/B18*100,1)&amp;"%"</f>
        <v>35.9%</v>
      </c>
      <c r="D16" s="36" t="str">
        <f aca="false">"Rotan kualitas sedang — harga "&amp;TEXT(_xlfn.MINIFS('Dataset Rotan Sigi'!J4:J173,'Dataset Rotan Sigi'!K4:K173,"B"),"""Rp"" #,##0")&amp;" – "&amp;TEXT(_xlfn.MAXIFS('Dataset Rotan Sigi'!J4:J173,'Dataset Rotan Sigi'!K4:K173,"B"),"""Rp"" #,##0")&amp;"/kg"</f>
        <v>Rotan kualitas sedang — harga Rp 6,700 – Rp 9,200/kg</v>
      </c>
      <c r="E16" s="36"/>
      <c r="F16" s="36"/>
      <c r="G16" s="36"/>
      <c r="H16" s="36"/>
    </row>
    <row r="17" customFormat="false" ht="18" hidden="false" customHeight="true" outlineLevel="0" collapsed="false">
      <c r="A17" s="37" t="s">
        <v>110</v>
      </c>
      <c r="B17" s="37" t="n">
        <f aca="false">COUNTIF('Dataset Rotan Sigi'!K4:K173,"C")</f>
        <v>49</v>
      </c>
      <c r="C17" s="37" t="str">
        <f aca="false">ROUND(B17/B18*100,1)&amp;"%"</f>
        <v>28.8%</v>
      </c>
      <c r="D17" s="38" t="str">
        <f aca="false">"Rotan kualitas rendah — harga "&amp;TEXT(_xlfn.MINIFS('Dataset Rotan Sigi'!J4:J173,'Dataset Rotan Sigi'!K4:K173,"C"),"""Rp"" #,##0")&amp;" – "&amp;TEXT(_xlfn.MAXIFS('Dataset Rotan Sigi'!J4:J173,'Dataset Rotan Sigi'!K4:K173,"C"),"""Rp"" #,##0")&amp;"/kg"</f>
        <v>Rotan kualitas rendah — harga Rp 4,600 – Rp 6,600/kg</v>
      </c>
      <c r="E17" s="38"/>
      <c r="F17" s="38"/>
      <c r="G17" s="38"/>
      <c r="H17" s="38"/>
    </row>
    <row r="18" customFormat="false" ht="18" hidden="false" customHeight="true" outlineLevel="0" collapsed="false">
      <c r="A18" s="39" t="s">
        <v>111</v>
      </c>
      <c r="B18" s="39" t="n">
        <f aca="false">SUM(B15:B17)</f>
        <v>170</v>
      </c>
      <c r="C18" s="39" t="str">
        <f aca="false">"100%"</f>
        <v>100%</v>
      </c>
      <c r="D18" s="40" t="str">
        <f aca="false">B18&amp;" sampel total"</f>
        <v>170 sampel total</v>
      </c>
      <c r="E18" s="41"/>
      <c r="F18" s="42"/>
      <c r="G18" s="42"/>
      <c r="H18" s="42"/>
    </row>
  </sheetData>
  <mergeCells count="16">
    <mergeCell ref="A1:H1"/>
    <mergeCell ref="A2:H2"/>
    <mergeCell ref="H3:I3"/>
    <mergeCell ref="H4:I4"/>
    <mergeCell ref="H5:I5"/>
    <mergeCell ref="H6:I6"/>
    <mergeCell ref="H7:I7"/>
    <mergeCell ref="H8:I8"/>
    <mergeCell ref="H9:I9"/>
    <mergeCell ref="H10:I10"/>
    <mergeCell ref="A13:D13"/>
    <mergeCell ref="E13:H13"/>
    <mergeCell ref="D15:I15"/>
    <mergeCell ref="D16:H16"/>
    <mergeCell ref="D17:H17"/>
    <mergeCell ref="F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</cols>
  <sheetData>
    <row r="1" customFormat="false" ht="16.5" hidden="false" customHeight="true" outlineLevel="0" collapsed="false">
      <c r="A1" s="14"/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112</v>
      </c>
      <c r="B2" s="15"/>
      <c r="C2" s="15"/>
      <c r="D2" s="15"/>
      <c r="E2" s="15"/>
      <c r="F2" s="15"/>
    </row>
    <row r="3" customFormat="false" ht="15" hidden="false" customHeight="true" outlineLevel="0" collapsed="false">
      <c r="A3" s="43" t="s">
        <v>113</v>
      </c>
      <c r="B3" s="43"/>
      <c r="C3" s="43"/>
      <c r="D3" s="43"/>
      <c r="E3" s="43"/>
      <c r="F3" s="43"/>
    </row>
    <row r="4" customFormat="false" ht="15" hidden="false" customHeight="true" outlineLevel="0" collapsed="false">
      <c r="A4" s="16" t="s">
        <v>114</v>
      </c>
      <c r="B4" s="16" t="s">
        <v>115</v>
      </c>
      <c r="C4" s="16" t="s">
        <v>30</v>
      </c>
      <c r="D4" s="16"/>
      <c r="E4" s="16"/>
      <c r="F4" s="16"/>
    </row>
    <row r="5" customFormat="false" ht="18" hidden="false" customHeight="true" outlineLevel="0" collapsed="false">
      <c r="A5" s="6" t="s">
        <v>116</v>
      </c>
      <c r="B5" s="44" t="s">
        <v>117</v>
      </c>
      <c r="C5" s="6" t="s">
        <v>118</v>
      </c>
      <c r="D5" s="6"/>
      <c r="E5" s="6"/>
      <c r="F5" s="6"/>
    </row>
    <row r="6" customFormat="false" ht="18" hidden="false" customHeight="true" outlineLevel="0" collapsed="false">
      <c r="A6" s="45" t="s">
        <v>119</v>
      </c>
      <c r="B6" s="39" t="s">
        <v>120</v>
      </c>
      <c r="C6" s="45" t="s">
        <v>121</v>
      </c>
      <c r="D6" s="45"/>
      <c r="E6" s="45"/>
      <c r="F6" s="45"/>
    </row>
    <row r="7" customFormat="false" ht="18" hidden="false" customHeight="true" outlineLevel="0" collapsed="false">
      <c r="A7" s="6" t="s">
        <v>122</v>
      </c>
      <c r="B7" s="44" t="s">
        <v>123</v>
      </c>
      <c r="C7" s="6" t="s">
        <v>124</v>
      </c>
      <c r="D7" s="6"/>
      <c r="E7" s="6"/>
      <c r="F7" s="6"/>
    </row>
    <row r="8" customFormat="false" ht="18" hidden="false" customHeight="true" outlineLevel="0" collapsed="false">
      <c r="A8" s="45" t="s">
        <v>125</v>
      </c>
      <c r="B8" s="39" t="s">
        <v>126</v>
      </c>
      <c r="C8" s="45" t="s">
        <v>127</v>
      </c>
      <c r="D8" s="45"/>
      <c r="E8" s="45"/>
      <c r="F8" s="45"/>
    </row>
    <row r="9" customFormat="false" ht="18" hidden="false" customHeight="true" outlineLevel="0" collapsed="false">
      <c r="A9" s="6" t="s">
        <v>128</v>
      </c>
      <c r="B9" s="44" t="s">
        <v>129</v>
      </c>
      <c r="C9" s="6" t="s">
        <v>130</v>
      </c>
      <c r="D9" s="6"/>
      <c r="E9" s="6"/>
      <c r="F9" s="6"/>
    </row>
    <row r="11" customFormat="false" ht="7.5" hidden="false" customHeight="true" outlineLevel="0" collapsed="false"/>
    <row r="12" customFormat="false" ht="15" hidden="false" customHeight="true" outlineLevel="0" collapsed="false">
      <c r="A12" s="46" t="s">
        <v>131</v>
      </c>
      <c r="B12" s="46"/>
      <c r="C12" s="46"/>
      <c r="D12" s="46"/>
      <c r="E12" s="46"/>
      <c r="F12" s="46"/>
    </row>
    <row r="13" customFormat="false" ht="15" hidden="false" customHeight="true" outlineLevel="0" collapsed="false">
      <c r="A13" s="16" t="s">
        <v>114</v>
      </c>
      <c r="B13" s="16" t="s">
        <v>115</v>
      </c>
      <c r="C13" s="16" t="s">
        <v>30</v>
      </c>
      <c r="D13" s="16"/>
      <c r="E13" s="16"/>
      <c r="F13" s="16"/>
    </row>
    <row r="14" customFormat="false" ht="18" hidden="false" customHeight="true" outlineLevel="0" collapsed="false">
      <c r="A14" s="6" t="s">
        <v>132</v>
      </c>
      <c r="B14" s="44" t="s">
        <v>133</v>
      </c>
      <c r="C14" s="6" t="s">
        <v>134</v>
      </c>
      <c r="D14" s="6"/>
      <c r="E14" s="6"/>
      <c r="F14" s="6"/>
    </row>
    <row r="15" customFormat="false" ht="18" hidden="false" customHeight="true" outlineLevel="0" collapsed="false">
      <c r="A15" s="45" t="s">
        <v>135</v>
      </c>
      <c r="B15" s="39" t="s">
        <v>136</v>
      </c>
      <c r="C15" s="45" t="s">
        <v>137</v>
      </c>
      <c r="D15" s="45"/>
      <c r="E15" s="45"/>
      <c r="F15" s="45"/>
    </row>
    <row r="16" customFormat="false" ht="18" hidden="false" customHeight="true" outlineLevel="0" collapsed="false">
      <c r="A16" s="6" t="s">
        <v>138</v>
      </c>
      <c r="B16" s="44" t="s">
        <v>139</v>
      </c>
      <c r="C16" s="6" t="s">
        <v>140</v>
      </c>
      <c r="D16" s="6"/>
      <c r="E16" s="6"/>
      <c r="F16" s="6"/>
    </row>
    <row r="17" customFormat="false" ht="18" hidden="false" customHeight="true" outlineLevel="0" collapsed="false">
      <c r="A17" s="45" t="s">
        <v>141</v>
      </c>
      <c r="B17" s="39" t="s">
        <v>142</v>
      </c>
      <c r="C17" s="45" t="s">
        <v>143</v>
      </c>
      <c r="D17" s="45"/>
      <c r="E17" s="45"/>
      <c r="F17" s="45"/>
    </row>
    <row r="18" customFormat="false" ht="18" hidden="false" customHeight="true" outlineLevel="0" collapsed="false">
      <c r="A18" s="6" t="s">
        <v>144</v>
      </c>
      <c r="B18" s="44" t="s">
        <v>139</v>
      </c>
      <c r="C18" s="6" t="s">
        <v>145</v>
      </c>
      <c r="D18" s="6"/>
      <c r="E18" s="6"/>
      <c r="F18" s="6"/>
    </row>
    <row r="19" customFormat="false" ht="18" hidden="false" customHeight="true" outlineLevel="0" collapsed="false">
      <c r="A19" s="45" t="s">
        <v>146</v>
      </c>
      <c r="B19" s="39" t="s">
        <v>147</v>
      </c>
      <c r="C19" s="45" t="s">
        <v>148</v>
      </c>
      <c r="D19" s="45"/>
      <c r="E19" s="45"/>
      <c r="F19" s="45"/>
    </row>
    <row r="21" customFormat="false" ht="7.5" hidden="false" customHeight="true" outlineLevel="0" collapsed="false"/>
    <row r="22" customFormat="false" ht="15" hidden="false" customHeight="true" outlineLevel="0" collapsed="false">
      <c r="A22" s="47" t="s">
        <v>149</v>
      </c>
      <c r="B22" s="47"/>
      <c r="C22" s="47"/>
      <c r="D22" s="47"/>
      <c r="E22" s="47"/>
      <c r="F22" s="47"/>
    </row>
    <row r="23" customFormat="false" ht="15" hidden="false" customHeight="true" outlineLevel="0" collapsed="false">
      <c r="A23" s="16" t="s">
        <v>150</v>
      </c>
      <c r="B23" s="16" t="s">
        <v>151</v>
      </c>
      <c r="C23" s="16" t="s">
        <v>152</v>
      </c>
      <c r="D23" s="16" t="s">
        <v>153</v>
      </c>
      <c r="E23" s="16" t="s">
        <v>154</v>
      </c>
      <c r="F23" s="16" t="s">
        <v>155</v>
      </c>
    </row>
    <row r="24" customFormat="false" ht="18" hidden="false" customHeight="true" outlineLevel="0" collapsed="false">
      <c r="A24" s="33" t="s">
        <v>156</v>
      </c>
      <c r="B24" s="33" t="s">
        <v>157</v>
      </c>
      <c r="C24" s="33" t="s">
        <v>158</v>
      </c>
      <c r="D24" s="33" t="s">
        <v>159</v>
      </c>
      <c r="E24" s="33" t="s">
        <v>160</v>
      </c>
      <c r="F24" s="8" t="s">
        <v>161</v>
      </c>
    </row>
    <row r="25" customFormat="false" ht="18" hidden="false" customHeight="true" outlineLevel="0" collapsed="false">
      <c r="A25" s="5" t="s">
        <v>136</v>
      </c>
      <c r="B25" s="5" t="s">
        <v>162</v>
      </c>
      <c r="C25" s="5" t="s">
        <v>163</v>
      </c>
      <c r="D25" s="5" t="s">
        <v>164</v>
      </c>
      <c r="E25" s="5" t="s">
        <v>165</v>
      </c>
      <c r="F25" s="5"/>
    </row>
    <row r="26" customFormat="false" ht="18" hidden="false" customHeight="true" outlineLevel="0" collapsed="false">
      <c r="A26" s="48" t="s">
        <v>166</v>
      </c>
      <c r="B26" s="48" t="s">
        <v>167</v>
      </c>
      <c r="C26" s="48" t="s">
        <v>168</v>
      </c>
      <c r="D26" s="48" t="s">
        <v>169</v>
      </c>
      <c r="E26" s="48" t="s">
        <v>170</v>
      </c>
      <c r="F26" s="48"/>
    </row>
    <row r="28" customFormat="false" ht="15" hidden="false" customHeight="false" outlineLevel="0" collapsed="false">
      <c r="A28" s="49" t="s">
        <v>171</v>
      </c>
    </row>
  </sheetData>
  <mergeCells count="18">
    <mergeCell ref="A1:F1"/>
    <mergeCell ref="A2:F2"/>
    <mergeCell ref="A3:F3"/>
    <mergeCell ref="C4:F4"/>
    <mergeCell ref="C5:F5"/>
    <mergeCell ref="C6:F6"/>
    <mergeCell ref="C7:F7"/>
    <mergeCell ref="C8:F8"/>
    <mergeCell ref="C9:F9"/>
    <mergeCell ref="A12:F12"/>
    <mergeCell ref="C13:F13"/>
    <mergeCell ref="C14:F14"/>
    <mergeCell ref="C15:F15"/>
    <mergeCell ref="C16:F16"/>
    <mergeCell ref="C17:F17"/>
    <mergeCell ref="C18:F18"/>
    <mergeCell ref="C19:F19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2026-05-20T23:08:37Z</dcterms:created>
  <dc:creator>openpyxl</dc:creator>
  <dc:description/>
  <dc:language>en-US</dc:language>
  <cp:lastModifiedBy>LENOVO</cp:lastModifiedBy>
  <dcterms:modified xsi:type="dcterms:W3CDTF">2026-06-16T05:24:31Z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